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ytime Expansion" sheetId="1" state="visible" r:id="rId3"/>
    <sheet name="Renewal-Only Expansion" sheetId="2" state="visible" r:id="rId4"/>
    <sheet name="Q1 Action List" sheetId="3" state="visible" r:id="rId5"/>
    <sheet name="Pipeline Summary" sheetId="4" state="visible" r:id="rId6"/>
    <sheet name="Scoring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<sst xmlns="http://schemas.openxmlformats.org/spreadsheetml/2006/main" count="915" uniqueCount="371">
  <si>
    <t xml:space="preserve">ANYTIME EXPANSION - Named User / Chargeback / RTD</t>
  </si>
  <si>
    <t xml:space="preserve">These accounts can expand OFF-CYCLE or at renewal. Fill Yellow column (Free/SS Users) from Hex.</t>
  </si>
  <si>
    <t xml:space="preserve">Organization</t>
  </si>
  <si>
    <t xml:space="preserve">License Type</t>
  </si>
  <si>
    <t xml:space="preserve">Usage Health</t>
  </si>
  <si>
    <t xml:space="preserve">Current Seats</t>
  </si>
  <si>
    <t xml:space="preserve">Seats Filled</t>
  </si>
  <si>
    <t xml:space="preserve">Activation %</t>
  </si>
  <si>
    <t xml:space="preserve">Active 90d</t>
  </si>
  <si>
    <t xml:space="preserve">ARR</t>
  </si>
  <si>
    <t xml:space="preserve">Renewal Date</t>
  </si>
  <si>
    <t xml:space="preserve">Days to Renewal</t>
  </si>
  <si>
    <t xml:space="preserve">FREE/SS USERS</t>
  </si>
  <si>
    <t xml:space="preserve">License Pts</t>
  </si>
  <si>
    <t xml:space="preserve">Health Pts</t>
  </si>
  <si>
    <t xml:space="preserve">Activation Pts</t>
  </si>
  <si>
    <t xml:space="preserve">Free User Pts</t>
  </si>
  <si>
    <t xml:space="preserve">ARR Pts</t>
  </si>
  <si>
    <t xml:space="preserve">Renewal Pts</t>
  </si>
  <si>
    <t xml:space="preserve">TOTAL SCORE</t>
  </si>
  <si>
    <t xml:space="preserve">TIER</t>
  </si>
  <si>
    <t xml:space="preserve">Ospedale Pediatrico Bambino GesÃ¹ (Bambino GesÃ¹ Childrenâs Hospital) - Research Biobank</t>
  </si>
  <si>
    <t xml:space="preserve">Right to Deploy</t>
  </si>
  <si>
    <t xml:space="preserve">Red</t>
  </si>
  <si>
    <t xml:space="preserve">12/31/2025</t>
  </si>
  <si>
    <t xml:space="preserve">Academic Health Center</t>
  </si>
  <si>
    <t xml:space="preserve">01/13/2026</t>
  </si>
  <si>
    <t xml:space="preserve">University of Puerto Rico - Industrial Biotechnology Learning Center (IBLC)</t>
  </si>
  <si>
    <t xml:space="preserve">01/28/2026</t>
  </si>
  <si>
    <t xml:space="preserve">Africa Health Research Institute</t>
  </si>
  <si>
    <t xml:space="preserve">Named User (Chargeback)</t>
  </si>
  <si>
    <t xml:space="preserve">02/01/2026</t>
  </si>
  <si>
    <t xml:space="preserve">Burnet Institute</t>
  </si>
  <si>
    <t xml:space="preserve">Named User</t>
  </si>
  <si>
    <t xml:space="preserve">02/14/2026</t>
  </si>
  <si>
    <t xml:space="preserve">INRS - Isabelle Plante</t>
  </si>
  <si>
    <t xml:space="preserve">Green</t>
  </si>
  <si>
    <t xml:space="preserve">02/16/2026</t>
  </si>
  <si>
    <t xml:space="preserve">IKP Stuttgart - Institute for Clinical Pharmacology</t>
  </si>
  <si>
    <t xml:space="preserve">02/20/2026</t>
  </si>
  <si>
    <t xml:space="preserve">Regional Centre for Biotechnology- 25 Named Users</t>
  </si>
  <si>
    <t xml:space="preserve">02/23/2026</t>
  </si>
  <si>
    <t xml:space="preserve">University of Ljubljana-Biotechnical faculty</t>
  </si>
  <si>
    <t xml:space="preserve">Yellow</t>
  </si>
  <si>
    <t xml:space="preserve">03/04/2026</t>
  </si>
  <si>
    <t xml:space="preserve">University of Puerto Rico - Biomedical Sciences</t>
  </si>
  <si>
    <t xml:space="preserve">03/05/2026</t>
  </si>
  <si>
    <t xml:space="preserve">University of Eastern Piedmont</t>
  </si>
  <si>
    <t xml:space="preserve">03/10/2026</t>
  </si>
  <si>
    <t xml:space="preserve">Concordia University of Wisconsin  - School of Pharmacy &amp; School of Arts &amp; Sciences - Robert Burlage</t>
  </si>
  <si>
    <t xml:space="preserve">03/13/2026</t>
  </si>
  <si>
    <t xml:space="preserve">UT El Paso</t>
  </si>
  <si>
    <t xml:space="preserve">Augusta University - Vascular Biology Center</t>
  </si>
  <si>
    <t xml:space="preserve">03/16/2026</t>
  </si>
  <si>
    <t xml:space="preserve">CTSCB Hong Kong</t>
  </si>
  <si>
    <t xml:space="preserve">03/28/2026</t>
  </si>
  <si>
    <t xml:space="preserve">Czech Academy of Sciences - Institute of Organic Chem and Biochem</t>
  </si>
  <si>
    <t xml:space="preserve">University of Ljubljana - Faculty of Pharmacy</t>
  </si>
  <si>
    <t xml:space="preserve">03/30/2026</t>
  </si>
  <si>
    <t xml:space="preserve">National Institute of Biological Sciences, Beijing- Jing Zhang</t>
  </si>
  <si>
    <t xml:space="preserve">04/01/2026</t>
  </si>
  <si>
    <t xml:space="preserve">University of Perugia - Dept. of Medicine and Surgery</t>
  </si>
  <si>
    <t xml:space="preserve">04/04/2026</t>
  </si>
  <si>
    <t xml:space="preserve">Istituto Neurologico Carlo Besta(IRCCS)</t>
  </si>
  <si>
    <t xml:space="preserve">04/11/2026</t>
  </si>
  <si>
    <t xml:space="preserve">University of Siena - Department of Medical Biotechnologies</t>
  </si>
  <si>
    <t xml:space="preserve">Candice CHUM research Center- Erik Joly</t>
  </si>
  <si>
    <t xml:space="preserve">04/12/2026</t>
  </si>
  <si>
    <t xml:space="preserve">German Aerospace Center</t>
  </si>
  <si>
    <t xml:space="preserve">Czech Academy of Sciences</t>
  </si>
  <si>
    <t xml:space="preserve">04/21/2026</t>
  </si>
  <si>
    <t xml:space="preserve">Comprehensive Cancer Center</t>
  </si>
  <si>
    <t xml:space="preserve">05/01/2026</t>
  </si>
  <si>
    <t xml:space="preserve">Bielefeld University Medical School OWL</t>
  </si>
  <si>
    <t xml:space="preserve">UKE Hamburg - iPrime</t>
  </si>
  <si>
    <t xml:space="preserve">Riga Stradins University formerly RSU - Institute of Microbiology and Virology</t>
  </si>
  <si>
    <t xml:space="preserve">05/02/2026</t>
  </si>
  <si>
    <t xml:space="preserve">University of Pavia</t>
  </si>
  <si>
    <t xml:space="preserve">05/06/2026</t>
  </si>
  <si>
    <t xml:space="preserve">University of Greenwich - Faculty of Engineering &amp; Science</t>
  </si>
  <si>
    <t xml:space="preserve">05/11/2026</t>
  </si>
  <si>
    <t xml:space="preserve">Institute for Clinical and Experimental Medicine</t>
  </si>
  <si>
    <t xml:space="preserve">05/15/2026</t>
  </si>
  <si>
    <t xml:space="preserve">Tuskegee University Center for Biomedical Research</t>
  </si>
  <si>
    <t xml:space="preserve">Pompeu Fabra University</t>
  </si>
  <si>
    <t xml:space="preserve">06/03/2026</t>
  </si>
  <si>
    <t xml:space="preserve">Wadsworth Center - Bacteriology Lab</t>
  </si>
  <si>
    <t xml:space="preserve">06/10/2026</t>
  </si>
  <si>
    <t xml:space="preserve">University of Cape Town - Neuroscience Institute</t>
  </si>
  <si>
    <t xml:space="preserve">University of Eastern Finland</t>
  </si>
  <si>
    <t xml:space="preserve">06/13/2026</t>
  </si>
  <si>
    <t xml:space="preserve">Wadsworth Center - Biodefense Lab</t>
  </si>
  <si>
    <t xml:space="preserve">06/14/2026</t>
  </si>
  <si>
    <t xml:space="preserve">University of Hannover - Medizinische Hochschule Hannover</t>
  </si>
  <si>
    <t xml:space="preserve">06/18/2026</t>
  </si>
  <si>
    <t xml:space="preserve">University of Hohenheim - Faculty of Natural Science and Agricultural Science</t>
  </si>
  <si>
    <t xml:space="preserve">06/26/2026</t>
  </si>
  <si>
    <t xml:space="preserve">NIPER Hyderabad - Named User License</t>
  </si>
  <si>
    <t xml:space="preserve">San Diego State University - Cell and Molecular Biology Program Area (Biology Department)</t>
  </si>
  <si>
    <t xml:space="preserve">06/27/2026</t>
  </si>
  <si>
    <t xml:space="preserve">Universidade do Minho - Life and Health Sciences Research Institute</t>
  </si>
  <si>
    <t xml:space="preserve">07/01/2026</t>
  </si>
  <si>
    <t xml:space="preserve">Indian Institute of Science Education and Research Mohali - Department of Biological Sciences</t>
  </si>
  <si>
    <t xml:space="preserve">07/03/2026</t>
  </si>
  <si>
    <t xml:space="preserve">University of Nevada, Las Vegas</t>
  </si>
  <si>
    <t xml:space="preserve">07/10/2026</t>
  </si>
  <si>
    <t xml:space="preserve">Medical University of Innsbruck</t>
  </si>
  <si>
    <t xml:space="preserve">07/12/2026</t>
  </si>
  <si>
    <t xml:space="preserve">SRM Institute of Science and Technology - School of Bioengineering - Varshini Karthik</t>
  </si>
  <si>
    <t xml:space="preserve">07/16/2026</t>
  </si>
  <si>
    <t xml:space="preserve">Centenary Institute</t>
  </si>
  <si>
    <t xml:space="preserve">07/23/2026</t>
  </si>
  <si>
    <t xml:space="preserve">University of Sunderland - Biomedical Sciences</t>
  </si>
  <si>
    <t xml:space="preserve">07/28/2026</t>
  </si>
  <si>
    <t xml:space="preserve">Kaohsiung Medical University (KMU), College of Medicine</t>
  </si>
  <si>
    <t xml:space="preserve">08/01/2026</t>
  </si>
  <si>
    <t xml:space="preserve">Philipps University of Marburg - Faculty of Medicine</t>
  </si>
  <si>
    <t xml:space="preserve">08/08/2026</t>
  </si>
  <si>
    <t xml:space="preserve">Cinvestav</t>
  </si>
  <si>
    <t xml:space="preserve">08/14/2026</t>
  </si>
  <si>
    <t xml:space="preserve">Fox Chase Cancer Center</t>
  </si>
  <si>
    <t xml:space="preserve">08/15/2026</t>
  </si>
  <si>
    <t xml:space="preserve">University of New Mexico - Molecular Genetics and Microbiology</t>
  </si>
  <si>
    <t xml:space="preserve">08/31/2026</t>
  </si>
  <si>
    <t xml:space="preserve">University of Chieti - Department of Innovative Technology in Medicine and Dentistry</t>
  </si>
  <si>
    <t xml:space="preserve">09/02/2026</t>
  </si>
  <si>
    <t xml:space="preserve">Swarthmore College</t>
  </si>
  <si>
    <t xml:space="preserve">09/19/2026</t>
  </si>
  <si>
    <t xml:space="preserve">Philipps Universitat Marburg - Institute for Tumor Immunology</t>
  </si>
  <si>
    <t xml:space="preserve">10/06/2026</t>
  </si>
  <si>
    <t xml:space="preserve">Indian Institute of Science</t>
  </si>
  <si>
    <t xml:space="preserve">Augusta University - Department of Physiology</t>
  </si>
  <si>
    <t xml:space="preserve">10/16/2026</t>
  </si>
  <si>
    <t xml:space="preserve">University of Saskatchewan - Vaccine and Infectious Disease Organization (VIDO)</t>
  </si>
  <si>
    <t xml:space="preserve">10/18/2026</t>
  </si>
  <si>
    <t xml:space="preserve">Berry College - College of Math &amp; Science</t>
  </si>
  <si>
    <t xml:space="preserve">10/27/2026</t>
  </si>
  <si>
    <t xml:space="preserve">Wellcome Sanger</t>
  </si>
  <si>
    <t xml:space="preserve">10/31/2026</t>
  </si>
  <si>
    <t xml:space="preserve">FMP - Leibniz Research Institute for Molecular Pharmacology</t>
  </si>
  <si>
    <t xml:space="preserve">11/01/2026</t>
  </si>
  <si>
    <t xml:space="preserve">University of New Mexico - Dept of Cell Bio &amp; Physiology</t>
  </si>
  <si>
    <t xml:space="preserve">Acibadem Universitesi - Library</t>
  </si>
  <si>
    <t xml:space="preserve">11/03/2026</t>
  </si>
  <si>
    <t xml:space="preserve">UK Health Security Agency, Research &amp; Evaluation</t>
  </si>
  <si>
    <t xml:space="preserve">11/08/2026</t>
  </si>
  <si>
    <t xml:space="preserve">Florida State University - College of Arts and Sciences (Multiyear 1 of 3)</t>
  </si>
  <si>
    <t xml:space="preserve">11/09/2026</t>
  </si>
  <si>
    <t xml:space="preserve">Oregon State University - School of Chemical, Biological, and Environmental Engineering</t>
  </si>
  <si>
    <t xml:space="preserve">11/14/2026</t>
  </si>
  <si>
    <t xml:space="preserve">Rowan University - Cooper Medical School - Department of Biomedical Sciences</t>
  </si>
  <si>
    <t xml:space="preserve">11/20/2026</t>
  </si>
  <si>
    <t xml:space="preserve">Presse UKR - Leibniz Insitute for Immunotherapy</t>
  </si>
  <si>
    <t xml:space="preserve">11/30/2026</t>
  </si>
  <si>
    <t xml:space="preserve">University Medical Center Hamburg-Eppendorf - Institute for Cellular and Integrative Physiology</t>
  </si>
  <si>
    <t xml:space="preserve">12/09/2026</t>
  </si>
  <si>
    <t xml:space="preserve">Empa</t>
  </si>
  <si>
    <t xml:space="preserve">12/15/2026</t>
  </si>
  <si>
    <t xml:space="preserve">University of Lodz - Faculty of Biology and Environmental Protection</t>
  </si>
  <si>
    <t xml:space="preserve">12/18/2026</t>
  </si>
  <si>
    <t xml:space="preserve">IRCCS Mondino Foundation</t>
  </si>
  <si>
    <t xml:space="preserve">12/21/2026</t>
  </si>
  <si>
    <t xml:space="preserve">National Health Research Institutes - Library Services</t>
  </si>
  <si>
    <t xml:space="preserve">01/01/2027</t>
  </si>
  <si>
    <t xml:space="preserve">Santa Clara University - College of Arts and Sciences</t>
  </si>
  <si>
    <t xml:space="preserve">01/02/2027</t>
  </si>
  <si>
    <t xml:space="preserve">Oregon State University - Linus Pauling Institute</t>
  </si>
  <si>
    <t xml:space="preserve">01/06/2027</t>
  </si>
  <si>
    <t xml:space="preserve">High Point University - Office of Information Technology</t>
  </si>
  <si>
    <t xml:space="preserve">Chulabhorn Graduate Institute</t>
  </si>
  <si>
    <t xml:space="preserve">01/12/2027</t>
  </si>
  <si>
    <t xml:space="preserve">Abo Akademi University - Faculty of Science and Technology</t>
  </si>
  <si>
    <t xml:space="preserve">Nova Southeastern University - Oceanographic Campus Library</t>
  </si>
  <si>
    <t xml:space="preserve">01/13/2027</t>
  </si>
  <si>
    <t xml:space="preserve">Amity Institute of Biotechnology, Amity University Haryana (Amity University)</t>
  </si>
  <si>
    <t xml:space="preserve">01/15/2027</t>
  </si>
  <si>
    <t xml:space="preserve">UniversitÃ¤t Leipzig - Faculty of Medicine</t>
  </si>
  <si>
    <t xml:space="preserve">Oregon State University - Environmental &amp; Molecular Toxicology + Food Science &amp; Technology + COMES</t>
  </si>
  <si>
    <t xml:space="preserve">University of California Merced,  Center for Cellular and Biomolecular Machines</t>
  </si>
  <si>
    <t xml:space="preserve">01/19/2027</t>
  </si>
  <si>
    <t xml:space="preserve">University Hospital of Schleswig-Holstein</t>
  </si>
  <si>
    <t xml:space="preserve">01/30/2027</t>
  </si>
  <si>
    <t xml:space="preserve">University of Rhode Island (URI), College of Pharmacy</t>
  </si>
  <si>
    <t xml:space="preserve">02/01/2027</t>
  </si>
  <si>
    <t xml:space="preserve">Florida State University - College of Health &amp; Human Sciences</t>
  </si>
  <si>
    <t xml:space="preserve">IUF GMBH- 40 Named Users</t>
  </si>
  <si>
    <t xml:space="preserve">Institute of Molecular Genetics of the Czech Academy of Sciences</t>
  </si>
  <si>
    <t xml:space="preserve">University of Saskatchewan - College of Ag</t>
  </si>
  <si>
    <t xml:space="preserve">02/02/2027</t>
  </si>
  <si>
    <t xml:space="preserve">ITESO</t>
  </si>
  <si>
    <t xml:space="preserve">02/09/2027</t>
  </si>
  <si>
    <t xml:space="preserve">UK Health Security Agency - Radiation Department</t>
  </si>
  <si>
    <t xml:space="preserve">03/04/2027</t>
  </si>
  <si>
    <t xml:space="preserve">University of Nevada, Las Vegas - School of Medicine (Year 2)</t>
  </si>
  <si>
    <t xml:space="preserve">03/13/2027</t>
  </si>
  <si>
    <t xml:space="preserve">Indian Institute of Technology</t>
  </si>
  <si>
    <t xml:space="preserve">12/15/2028</t>
  </si>
  <si>
    <t xml:space="preserve">RENEWAL-ONLY EXPANSION - Defined Group / Sitewide</t>
  </si>
  <si>
    <t xml:space="preserve">These accounts can ONLY expand at renewal. Sorted by renewal date. Uses Initial Seats for TRUE activation.</t>
  </si>
  <si>
    <t xml:space="preserve">Initial Seats</t>
  </si>
  <si>
    <t xml:space="preserve">TRUE Activation %</t>
  </si>
  <si>
    <t xml:space="preserve">RENEWAL WINDOW</t>
  </si>
  <si>
    <t xml:space="preserve">University of Saskatchewan - Dept of Anatomy, Physiology and Pharmacology</t>
  </si>
  <si>
    <t xml:space="preserve">Defined Group</t>
  </si>
  <si>
    <t xml:space="preserve">Delaware State University</t>
  </si>
  <si>
    <t xml:space="preserve">03/12/2026</t>
  </si>
  <si>
    <t xml:space="preserve">Oregon State University - Department of Biomedical Sciences</t>
  </si>
  <si>
    <t xml:space="preserve">03/20/2026</t>
  </si>
  <si>
    <t xml:space="preserve">University of Cincinnati - Department of Biomedical Engineering</t>
  </si>
  <si>
    <t xml:space="preserve">03/26/2026</t>
  </si>
  <si>
    <t xml:space="preserve">University of Pavia - Department of Internal Medicine and Therapeutics</t>
  </si>
  <si>
    <t xml:space="preserve">03/29/2026</t>
  </si>
  <si>
    <t xml:space="preserve">Los Alamos National Laboratory- Division of Bioscience</t>
  </si>
  <si>
    <t xml:space="preserve">04/18/2026</t>
  </si>
  <si>
    <t xml:space="preserve">University of Chieti-Dept. Medical, Oral and Biotechnology Sciences</t>
  </si>
  <si>
    <t xml:space="preserve">University of Puerto Rico</t>
  </si>
  <si>
    <t xml:space="preserve">05/09/2026</t>
  </si>
  <si>
    <t xml:space="preserve">Howard Hughes Medical Institute</t>
  </si>
  <si>
    <t xml:space="preserve">06/16/2026</t>
  </si>
  <si>
    <t xml:space="preserve">Hamad Bin Khalifa - College of Health and Life Sciences</t>
  </si>
  <si>
    <t xml:space="preserve">06/19/2026</t>
  </si>
  <si>
    <t xml:space="preserve">IIS Aragon</t>
  </si>
  <si>
    <t xml:space="preserve">Extra Green</t>
  </si>
  <si>
    <t xml:space="preserve">06/24/2026</t>
  </si>
  <si>
    <t xml:space="preserve">University of New Mexico Department of Biology</t>
  </si>
  <si>
    <t xml:space="preserve">07/08/2026</t>
  </si>
  <si>
    <t xml:space="preserve">University of Cincinnati</t>
  </si>
  <si>
    <t xml:space="preserve">07/17/2026</t>
  </si>
  <si>
    <t xml:space="preserve">University of Wyoming - Department of Animal Science</t>
  </si>
  <si>
    <t xml:space="preserve">Georgetown University - Department of Biology</t>
  </si>
  <si>
    <t xml:space="preserve">07/25/2026</t>
  </si>
  <si>
    <t xml:space="preserve">Georgia State University - Neuroscience Institute</t>
  </si>
  <si>
    <t xml:space="preserve">08/07/2026</t>
  </si>
  <si>
    <t xml:space="preserve">University of St Andrews - School of Medicine</t>
  </si>
  <si>
    <t xml:space="preserve">Medizinische Hochschule Hannover - Department of Gastroenterology, Hepatology and Endocrinology</t>
  </si>
  <si>
    <t xml:space="preserve">08/13/2026</t>
  </si>
  <si>
    <t xml:space="preserve">University of the West Scotland - School of Health and Life Sciences</t>
  </si>
  <si>
    <t xml:space="preserve">08/20/2026</t>
  </si>
  <si>
    <t xml:space="preserve">Leibniz Institute on Aging â Fritz Lipmann Institute</t>
  </si>
  <si>
    <t xml:space="preserve">09/01/2026</t>
  </si>
  <si>
    <t xml:space="preserve">Florida State University - Department of Biomedical Sciences</t>
  </si>
  <si>
    <t xml:space="preserve">09/18/2026</t>
  </si>
  <si>
    <t xml:space="preserve">Research Center Borstel, Leibniz Lung Center</t>
  </si>
  <si>
    <t xml:space="preserve">09/27/2026</t>
  </si>
  <si>
    <t xml:space="preserve">University of Southampton - School of Human Development and Health</t>
  </si>
  <si>
    <t xml:space="preserve">09/29/2026</t>
  </si>
  <si>
    <t xml:space="preserve">University of Southampton - School of Clinical &amp; Experimental Sciences</t>
  </si>
  <si>
    <t xml:space="preserve">10/14/2026</t>
  </si>
  <si>
    <t xml:space="preserve">Centre for Infectious Disease Research, Diagnostics and Laboratory Surveillance (IDS)(RIVM)</t>
  </si>
  <si>
    <t xml:space="preserve">10/29/2026</t>
  </si>
  <si>
    <t xml:space="preserve">University of Saskatchewan - Department of Biochemistry, Microbiology and Immunology</t>
  </si>
  <si>
    <t xml:space="preserve">Georgia State University</t>
  </si>
  <si>
    <t xml:space="preserve">RIVM - Center for Immunology of Infectious Diseases and Vaccines</t>
  </si>
  <si>
    <t xml:space="preserve">11/07/2026</t>
  </si>
  <si>
    <t xml:space="preserve">Universitat Ramon Llull - Bioengineering</t>
  </si>
  <si>
    <t xml:space="preserve">11/10/2026</t>
  </si>
  <si>
    <t xml:space="preserve">Augusta University - Immunology Center of Georgia</t>
  </si>
  <si>
    <t xml:space="preserve">12/03/2026</t>
  </si>
  <si>
    <t xml:space="preserve">University of Ljubljana - Institute of Biochemistry</t>
  </si>
  <si>
    <t xml:space="preserve">Teagasc</t>
  </si>
  <si>
    <t xml:space="preserve">Czech Academy of Sciences - Institute of Biotechnology</t>
  </si>
  <si>
    <t xml:space="preserve">Rowan University - Department of Chemical Engineering</t>
  </si>
  <si>
    <t xml:space="preserve">Czech Academy of Sciences - Institute of Microbiology</t>
  </si>
  <si>
    <t xml:space="preserve">University of Saskatchewan</t>
  </si>
  <si>
    <t xml:space="preserve">01/29/2027</t>
  </si>
  <si>
    <t xml:space="preserve">PILOT: UFZ Center for Environmental Research - Sitewide</t>
  </si>
  <si>
    <t xml:space="preserve">Sitewide</t>
  </si>
  <si>
    <t xml:space="preserve">01/31/2027</t>
  </si>
  <si>
    <t xml:space="preserve">Versiti - Blood Center of Wisconsin</t>
  </si>
  <si>
    <t xml:space="preserve">02/10/2027</t>
  </si>
  <si>
    <t xml:space="preserve">Oregon State University - Department of Pharmaceutical Sciences</t>
  </si>
  <si>
    <t xml:space="preserve">02/20/2027</t>
  </si>
  <si>
    <t xml:space="preserve">Q1 ACTION LIST - Accounts Renewing in Next 90 Days</t>
  </si>
  <si>
    <t xml:space="preserve">PRIORITY: These accounts need expansion conversations NOW. DG/Sitewide can only expand at renewal!</t>
  </si>
  <si>
    <t xml:space="preserve">Expansion Timing</t>
  </si>
  <si>
    <t xml:space="preserve">TRUE Activation</t>
  </si>
  <si>
    <t xml:space="preserve">Days Left</t>
  </si>
  <si>
    <t xml:space="preserve">Action Required</t>
  </si>
  <si>
    <t xml:space="preserve">Anytime</t>
  </si>
  <si>
    <t xml:space="preserve">Can expand now or at renewal</t>
  </si>
  <si>
    <t xml:space="preserve">RENEWAL ONLY</t>
  </si>
  <si>
    <t xml:space="preserve">URGENT: Must expand at this renewal or wait another year</t>
  </si>
  <si>
    <t xml:space="preserve">EXPANSION PIPELINE SUMMARY - Q1 2025</t>
  </si>
  <si>
    <t xml:space="preserve">QUARTERLY TARGETS</t>
  </si>
  <si>
    <t xml:space="preserve">Metric</t>
  </si>
  <si>
    <t xml:space="preserve">Value</t>
  </si>
  <si>
    <t xml:space="preserve">Q1 Renewal Target</t>
  </si>
  <si>
    <t xml:space="preserve">Minimum Expansion (17%)</t>
  </si>
  <si>
    <t xml:space="preserve">Target with 15% Buffer</t>
  </si>
  <si>
    <t xml:space="preserve">ACCOUNT BREAKDOWN BY EXPANSION TIMING</t>
  </si>
  <si>
    <t xml:space="preserve">Category</t>
  </si>
  <si>
    <t xml:space="preserve">Count</t>
  </si>
  <si>
    <t xml:space="preserve">Expansion Rule</t>
  </si>
  <si>
    <t xml:space="preserve">Anytime Expansion Total</t>
  </si>
  <si>
    <t xml:space="preserve">Renewal-Only Expansion Total</t>
  </si>
  <si>
    <t xml:space="preserve">DG/SITEWIDE RENEWAL URGENCY</t>
  </si>
  <si>
    <t xml:space="preserve">Window</t>
  </si>
  <si>
    <t xml:space="preserve">🔴 Renewing in 0-30 days</t>
  </si>
  <si>
    <t xml:space="preserve">🟠 Renewing in 31-60 days</t>
  </si>
  <si>
    <t xml:space="preserve">🟡 Renewing in 61-90 days</t>
  </si>
  <si>
    <t xml:space="preserve">🟢 Renewing in 91-180 days</t>
  </si>
  <si>
    <t xml:space="preserve">⚪ Renewing 180+ days</t>
  </si>
  <si>
    <t xml:space="preserve">PIPELINE BY TIER (Anytime Expansion - after Hex data)</t>
  </si>
  <si>
    <t xml:space="preserve">Tier</t>
  </si>
  <si>
    <t xml:space="preserve">Avg Deal</t>
  </si>
  <si>
    <t xml:space="preserve">Pipeline</t>
  </si>
  <si>
    <t xml:space="preserve">Tier 1</t>
  </si>
  <si>
    <t xml:space="preserve">Tier 2</t>
  </si>
  <si>
    <t xml:space="preserve">Tier 3</t>
  </si>
  <si>
    <t xml:space="preserve">PIPELINE BY TIER (Renewal-Only - after Hex data)</t>
  </si>
  <si>
    <t xml:space="preserve">SCORING REFERENCE - TWO EXPANSION MODELS</t>
  </si>
  <si>
    <t xml:space="preserve">ANYTIME EXPANSION (Named User / Chargeback / RTD)</t>
  </si>
  <si>
    <t xml:space="preserve">Max Score: 100 points | Activation = Seats Filled ÷ Current Seats</t>
  </si>
  <si>
    <t xml:space="preserve">RENEWAL-ONLY EXPANSION (Defined Group / Sitewide)</t>
  </si>
  <si>
    <t xml:space="preserve">Max Score: 103 points | Activation = Seats Filled ÷ Initial Seats | Higher renewal pts (20 max vs 15)</t>
  </si>
  <si>
    <t xml:space="preserve">Free/SS Users (25 max)</t>
  </si>
  <si>
    <t xml:space="preserve">Usage Health (25 max)</t>
  </si>
  <si>
    <t xml:space="preserve">Activation (18 max)</t>
  </si>
  <si>
    <t xml:space="preserve">ARR (10 max)</t>
  </si>
  <si>
    <t xml:space="preserve">Renewal - Anytime (15 max)</t>
  </si>
  <si>
    <t xml:space="preserve">Renewal - DG/SW (20 max)</t>
  </si>
  <si>
    <t xml:space="preserve">Type</t>
  </si>
  <si>
    <t xml:space="preserve">Pts</t>
  </si>
  <si>
    <t xml:space="preserve">Users</t>
  </si>
  <si>
    <t xml:space="preserve">Status</t>
  </si>
  <si>
    <t xml:space="preserve">Rate</t>
  </si>
  <si>
    <t xml:space="preserve">Days</t>
  </si>
  <si>
    <t xml:space="preserve">7</t>
  </si>
  <si>
    <t xml:space="preserve">50+</t>
  </si>
  <si>
    <t xml:space="preserve">25</t>
  </si>
  <si>
    <t xml:space="preserve">100%+</t>
  </si>
  <si>
    <t xml:space="preserve">18</t>
  </si>
  <si>
    <t xml:space="preserve">$25K+</t>
  </si>
  <si>
    <t xml:space="preserve">10</t>
  </si>
  <si>
    <t xml:space="preserve">0-30</t>
  </si>
  <si>
    <t xml:space="preserve">15</t>
  </si>
  <si>
    <t xml:space="preserve">20</t>
  </si>
  <si>
    <t xml:space="preserve">5</t>
  </si>
  <si>
    <t xml:space="preserve">30-49</t>
  </si>
  <si>
    <t xml:space="preserve">22</t>
  </si>
  <si>
    <t xml:space="preserve">95-99%</t>
  </si>
  <si>
    <t xml:space="preserve">16</t>
  </si>
  <si>
    <t xml:space="preserve">$15-25K</t>
  </si>
  <si>
    <t xml:space="preserve">8</t>
  </si>
  <si>
    <t xml:space="preserve">31-60</t>
  </si>
  <si>
    <t xml:space="preserve">13</t>
  </si>
  <si>
    <t xml:space="preserve">17</t>
  </si>
  <si>
    <t xml:space="preserve">Named User (CB)</t>
  </si>
  <si>
    <t xml:space="preserve">4</t>
  </si>
  <si>
    <t xml:space="preserve">20-29</t>
  </si>
  <si>
    <t xml:space="preserve">90-94%</t>
  </si>
  <si>
    <t xml:space="preserve">14</t>
  </si>
  <si>
    <t xml:space="preserve">$10-15K</t>
  </si>
  <si>
    <t xml:space="preserve">6</t>
  </si>
  <si>
    <t xml:space="preserve">61-90</t>
  </si>
  <si>
    <t xml:space="preserve">11</t>
  </si>
  <si>
    <t xml:space="preserve">10-19</t>
  </si>
  <si>
    <t xml:space="preserve">Red/Orange</t>
  </si>
  <si>
    <t xml:space="preserve">3</t>
  </si>
  <si>
    <t xml:space="preserve">80-89%</t>
  </si>
  <si>
    <t xml:space="preserve">$5-10K</t>
  </si>
  <si>
    <t xml:space="preserve">91-120</t>
  </si>
  <si>
    <t xml:space="preserve">9</t>
  </si>
  <si>
    <t xml:space="preserve">5-9</t>
  </si>
  <si>
    <t xml:space="preserve">70-79%</t>
  </si>
  <si>
    <t xml:space="preserve">&lt;$5K</t>
  </si>
  <si>
    <t xml:space="preserve">2</t>
  </si>
  <si>
    <t xml:space="preserve">121-180</t>
  </si>
  <si>
    <t xml:space="preserve">1-4</t>
  </si>
  <si>
    <t xml:space="preserve">&lt;70%</t>
  </si>
  <si>
    <t xml:space="preserve">180+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</si>
</sst>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\$#,##0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D32F2F"/>
      <name val="Cambria"/>
      <family val="0"/>
      <charset val="1"/>
    </font>
    <font>
      <b val="true"/>
      <sz val="10"/>
      <color rgb="FFD32F2F"/>
      <name val="Cambria"/>
      <family val="0"/>
      <charset val="1"/>
    </font>
    <font>
      <b val="true"/>
      <sz val="16"/>
      <color rgb="FF1E3A5F"/>
      <name val="Cambria"/>
      <family val="0"/>
      <charset val="1"/>
    </font>
    <font>
      <b val="true"/>
      <sz val="12"/>
      <color rgb="FF2E7D32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color rgb="FFD32F2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FFFDE7"/>
      </patternFill>
    </fill>
    <fill>
      <patternFill patternType="solid">
        <fgColor rgb="FFFFCDD2"/>
        <bgColor rgb="FFE8EAF6"/>
      </patternFill>
    </fill>
    <fill>
      <patternFill patternType="solid">
        <fgColor rgb="FFE8EAF6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DE7"/>
      <rgbColor rgb="FFE8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2E7D32"/>
      <rgbColor rgb="FF003300"/>
      <rgbColor rgb="FF333300"/>
      <rgbColor rgb="FFD32F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3" min="12" style="0" width="10"/>
    <col collapsed="false" customWidth="true" hidden="false" outlineLevel="0" max="15" min="14" style="0" width="12"/>
    <col collapsed="false" customWidth="true" hidden="false" outlineLevel="0" max="17" min="16" style="0" width="10"/>
    <col collapsed="false" customWidth="true" hidden="false" outlineLevel="0" max="19" min="18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4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23</v>
      </c>
      <c r="D5" s="4" t="n">
        <v>55</v>
      </c>
      <c r="E5" s="4" t="n">
        <v>49</v>
      </c>
      <c r="F5" s="5" t="n">
        <f aca="false">IF(D5&gt;0,E5/D5,0)</f>
        <v>0.890909090909091</v>
      </c>
      <c r="G5" s="4" t="n">
        <v>29</v>
      </c>
      <c r="H5" s="6" t="n">
        <v>10123.8</v>
      </c>
      <c r="I5" s="4" t="s">
        <v>24</v>
      </c>
      <c r="J5" s="4" t="n">
        <v>-28</v>
      </c>
      <c r="K5" s="7" t="n">
        <v>0</v>
      </c>
      <c r="L5" s="8" t="n">
        <f aca="false">IF(B5="Named User",7,IF(B5="Named User (Chargeback)",4,3))</f>
        <v>3</v>
      </c>
      <c r="M5" s="8" t="n">
        <f aca="false">IF(C5="Extra Green",25,IF(C5="Green",20,IF(C5="Yellow",8,IF(C5="Red",3,0))))</f>
        <v>3</v>
      </c>
      <c r="N5" s="8" t="n">
        <f aca="false">IF(F5&gt;=1,18,IF(F5&gt;=0.95,16,IF(F5&gt;=0.9,14,IF(F5&gt;=0.8,10,IF(F5&gt;=0.7,6,2)))))</f>
        <v>10</v>
      </c>
      <c r="O5" s="8" t="n">
        <f aca="false">IF(K5=0,0,IF(K5&gt;=50,25,IF(K5&gt;=30,22,IF(K5&gt;=20,18,IF(K5&gt;=10,14,IF(K5&gt;=5,10,5))))))</f>
        <v>0</v>
      </c>
      <c r="P5" s="8" t="n">
        <f aca="false">IF(H5&gt;=25000,10,IF(H5&gt;=15000,8,IF(H5&gt;=10000,6,IF(H5&gt;=5000,4,2))))</f>
        <v>6</v>
      </c>
      <c r="Q5" s="8" t="n">
        <f aca="false">IF(J5&lt;=30,15,IF(J5&lt;=60,13,IF(J5&lt;=90,11,IF(J5&lt;=120,9,IF(J5&lt;=180,6,3)))))</f>
        <v>15</v>
      </c>
      <c r="R5" s="9" t="n">
        <f aca="false">IF(K5=0,0,L5+M5+N5+O5+P5+Q5)</f>
        <v>0</v>
      </c>
      <c r="S5" s="8" t="str">
        <f aca="false">IF(K5=0,"Need Hex Data",IF(R5&gt;=75,"Tier 1",IF(R5&gt;=55,"Tier 2",IF(R5&gt;=35,"Tier 3","Below Threshold"))))</f>
        <v>Need Hex Data</v>
      </c>
    </row>
    <row r="6" customFormat="false" ht="15" hidden="false" customHeight="false" outlineLevel="0" collapsed="false">
      <c r="A6" s="4" t="s">
        <v>25</v>
      </c>
      <c r="B6" s="4" t="s">
        <v>22</v>
      </c>
      <c r="C6" s="4" t="s">
        <v>23</v>
      </c>
      <c r="D6" s="4" t="n">
        <v>145</v>
      </c>
      <c r="E6" s="4" t="n">
        <v>86</v>
      </c>
      <c r="F6" s="5" t="n">
        <f aca="false">IF(D6&gt;0,E6/D6,0)</f>
        <v>0.593103448275862</v>
      </c>
      <c r="G6" s="4" t="n">
        <v>51</v>
      </c>
      <c r="H6" s="6" t="n">
        <v>24771</v>
      </c>
      <c r="I6" s="4" t="s">
        <v>26</v>
      </c>
      <c r="J6" s="4" t="n">
        <v>-15</v>
      </c>
      <c r="K6" s="7" t="n">
        <v>0</v>
      </c>
      <c r="L6" s="8" t="n">
        <f aca="false">IF(B6="Named User",7,IF(B6="Named User (Chargeback)",4,3))</f>
        <v>3</v>
      </c>
      <c r="M6" s="8" t="n">
        <f aca="false">IF(C6="Extra Green",25,IF(C6="Green",20,IF(C6="Yellow",8,IF(C6="Red",3,0))))</f>
        <v>3</v>
      </c>
      <c r="N6" s="8" t="n">
        <f aca="false">IF(F6&gt;=1,18,IF(F6&gt;=0.95,16,IF(F6&gt;=0.9,14,IF(F6&gt;=0.8,10,IF(F6&gt;=0.7,6,2)))))</f>
        <v>2</v>
      </c>
      <c r="O6" s="8" t="n">
        <f aca="false">IF(K6=0,0,IF(K6&gt;=50,25,IF(K6&gt;=30,22,IF(K6&gt;=20,18,IF(K6&gt;=10,14,IF(K6&gt;=5,10,5))))))</f>
        <v>0</v>
      </c>
      <c r="P6" s="8" t="n">
        <f aca="false">IF(H6&gt;=25000,10,IF(H6&gt;=15000,8,IF(H6&gt;=10000,6,IF(H6&gt;=5000,4,2))))</f>
        <v>8</v>
      </c>
      <c r="Q6" s="8" t="n">
        <f aca="false">IF(J6&lt;=30,15,IF(J6&lt;=60,13,IF(J6&lt;=90,11,IF(J6&lt;=120,9,IF(J6&lt;=180,6,3)))))</f>
        <v>15</v>
      </c>
      <c r="R6" s="9" t="n">
        <f aca="false">IF(K6=0,0,L6+M6+N6+O6+P6+Q6)</f>
        <v>0</v>
      </c>
      <c r="S6" s="8" t="str">
        <f aca="false">IF(K6=0,"Need Hex Data",IF(R6&gt;=75,"Tier 1",IF(R6&gt;=55,"Tier 2",IF(R6&gt;=35,"Tier 3","Below Threshold"))))</f>
        <v>Need Hex Data</v>
      </c>
    </row>
    <row r="7" customFormat="false" ht="15" hidden="false" customHeight="false" outlineLevel="0" collapsed="false">
      <c r="A7" s="4" t="s">
        <v>27</v>
      </c>
      <c r="B7" s="4" t="s">
        <v>22</v>
      </c>
      <c r="C7" s="4" t="s">
        <v>23</v>
      </c>
      <c r="D7" s="4" t="n">
        <v>30</v>
      </c>
      <c r="E7" s="4" t="n">
        <v>23</v>
      </c>
      <c r="F7" s="5" t="n">
        <f aca="false">IF(D7&gt;0,E7/D7,0)</f>
        <v>0.766666666666667</v>
      </c>
      <c r="G7" s="4" t="n">
        <v>13</v>
      </c>
      <c r="H7" s="6" t="n">
        <v>4308</v>
      </c>
      <c r="I7" s="4" t="s">
        <v>28</v>
      </c>
      <c r="J7" s="4" t="n">
        <v>0</v>
      </c>
      <c r="K7" s="7" t="n">
        <v>0</v>
      </c>
      <c r="L7" s="8" t="n">
        <f aca="false">IF(B7="Named User",7,IF(B7="Named User (Chargeback)",4,3))</f>
        <v>3</v>
      </c>
      <c r="M7" s="8" t="n">
        <f aca="false">IF(C7="Extra Green",25,IF(C7="Green",20,IF(C7="Yellow",8,IF(C7="Red",3,0))))</f>
        <v>3</v>
      </c>
      <c r="N7" s="8" t="n">
        <f aca="false">IF(F7&gt;=1,18,IF(F7&gt;=0.95,16,IF(F7&gt;=0.9,14,IF(F7&gt;=0.8,10,IF(F7&gt;=0.7,6,2)))))</f>
        <v>6</v>
      </c>
      <c r="O7" s="8" t="n">
        <f aca="false">IF(K7=0,0,IF(K7&gt;=50,25,IF(K7&gt;=30,22,IF(K7&gt;=20,18,IF(K7&gt;=10,14,IF(K7&gt;=5,10,5))))))</f>
        <v>0</v>
      </c>
      <c r="P7" s="8" t="n">
        <f aca="false">IF(H7&gt;=25000,10,IF(H7&gt;=15000,8,IF(H7&gt;=10000,6,IF(H7&gt;=5000,4,2))))</f>
        <v>2</v>
      </c>
      <c r="Q7" s="8" t="n">
        <f aca="false">IF(J7&lt;=30,15,IF(J7&lt;=60,13,IF(J7&lt;=90,11,IF(J7&lt;=120,9,IF(J7&lt;=180,6,3)))))</f>
        <v>15</v>
      </c>
      <c r="R7" s="9" t="n">
        <f aca="false">IF(K7=0,0,L7+M7+N7+O7+P7+Q7)</f>
        <v>0</v>
      </c>
      <c r="S7" s="8" t="str">
        <f aca="false">IF(K7=0,"Need Hex Data",IF(R7&gt;=75,"Tier 1",IF(R7&gt;=55,"Tier 2",IF(R7&gt;=35,"Tier 3","Below Threshold"))))</f>
        <v>Need Hex Data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23</v>
      </c>
      <c r="D8" s="4" t="n">
        <v>40</v>
      </c>
      <c r="E8" s="4" t="n">
        <v>36</v>
      </c>
      <c r="F8" s="5" t="n">
        <f aca="false">IF(D8&gt;0,E8/D8,0)</f>
        <v>0.9</v>
      </c>
      <c r="G8" s="4" t="n">
        <v>16</v>
      </c>
      <c r="H8" s="6" t="n">
        <v>8185.2</v>
      </c>
      <c r="I8" s="4" t="s">
        <v>31</v>
      </c>
      <c r="J8" s="4" t="n">
        <v>4</v>
      </c>
      <c r="K8" s="7" t="n">
        <v>0</v>
      </c>
      <c r="L8" s="8" t="n">
        <f aca="false">IF(B8="Named User",7,IF(B8="Named User (Chargeback)",4,3))</f>
        <v>4</v>
      </c>
      <c r="M8" s="8" t="n">
        <f aca="false">IF(C8="Extra Green",25,IF(C8="Green",20,IF(C8="Yellow",8,IF(C8="Red",3,0))))</f>
        <v>3</v>
      </c>
      <c r="N8" s="8" t="n">
        <f aca="false">IF(F8&gt;=1,18,IF(F8&gt;=0.95,16,IF(F8&gt;=0.9,14,IF(F8&gt;=0.8,10,IF(F8&gt;=0.7,6,2)))))</f>
        <v>14</v>
      </c>
      <c r="O8" s="8" t="n">
        <f aca="false">IF(K8=0,0,IF(K8&gt;=50,25,IF(K8&gt;=30,22,IF(K8&gt;=20,18,IF(K8&gt;=10,14,IF(K8&gt;=5,10,5))))))</f>
        <v>0</v>
      </c>
      <c r="P8" s="8" t="n">
        <f aca="false">IF(H8&gt;=25000,10,IF(H8&gt;=15000,8,IF(H8&gt;=10000,6,IF(H8&gt;=5000,4,2))))</f>
        <v>4</v>
      </c>
      <c r="Q8" s="8" t="n">
        <f aca="false">IF(J8&lt;=30,15,IF(J8&lt;=60,13,IF(J8&lt;=90,11,IF(J8&lt;=120,9,IF(J8&lt;=180,6,3)))))</f>
        <v>15</v>
      </c>
      <c r="R8" s="9" t="n">
        <f aca="false">IF(K8=0,0,L8+M8+N8+O8+P8+Q8)</f>
        <v>0</v>
      </c>
      <c r="S8" s="8" t="str">
        <f aca="false">IF(K8=0,"Need Hex Data",IF(R8&gt;=75,"Tier 1",IF(R8&gt;=55,"Tier 2",IF(R8&gt;=35,"Tier 3","Below Threshold"))))</f>
        <v>Need Hex Data</v>
      </c>
    </row>
    <row r="9" customFormat="false" ht="15" hidden="false" customHeight="false" outlineLevel="0" collapsed="false">
      <c r="A9" s="4" t="s">
        <v>32</v>
      </c>
      <c r="B9" s="4" t="s">
        <v>33</v>
      </c>
      <c r="C9" s="4" t="s">
        <v>23</v>
      </c>
      <c r="D9" s="4" t="n">
        <v>95</v>
      </c>
      <c r="E9" s="4" t="n">
        <v>92</v>
      </c>
      <c r="F9" s="5" t="n">
        <f aca="false">IF(D9&gt;0,E9/D9,0)</f>
        <v>0.968421052631579</v>
      </c>
      <c r="G9" s="4" t="n">
        <v>40</v>
      </c>
      <c r="H9" s="6" t="n">
        <v>18943</v>
      </c>
      <c r="I9" s="4" t="s">
        <v>34</v>
      </c>
      <c r="J9" s="4" t="n">
        <v>17</v>
      </c>
      <c r="K9" s="7" t="n">
        <v>0</v>
      </c>
      <c r="L9" s="8" t="n">
        <f aca="false">IF(B9="Named User",7,IF(B9="Named User (Chargeback)",4,3))</f>
        <v>7</v>
      </c>
      <c r="M9" s="8" t="n">
        <f aca="false">IF(C9="Extra Green",25,IF(C9="Green",20,IF(C9="Yellow",8,IF(C9="Red",3,0))))</f>
        <v>3</v>
      </c>
      <c r="N9" s="8" t="n">
        <f aca="false">IF(F9&gt;=1,18,IF(F9&gt;=0.95,16,IF(F9&gt;=0.9,14,IF(F9&gt;=0.8,10,IF(F9&gt;=0.7,6,2)))))</f>
        <v>16</v>
      </c>
      <c r="O9" s="8" t="n">
        <f aca="false">IF(K9=0,0,IF(K9&gt;=50,25,IF(K9&gt;=30,22,IF(K9&gt;=20,18,IF(K9&gt;=10,14,IF(K9&gt;=5,10,5))))))</f>
        <v>0</v>
      </c>
      <c r="P9" s="8" t="n">
        <f aca="false">IF(H9&gt;=25000,10,IF(H9&gt;=15000,8,IF(H9&gt;=10000,6,IF(H9&gt;=5000,4,2))))</f>
        <v>8</v>
      </c>
      <c r="Q9" s="8" t="n">
        <f aca="false">IF(J9&lt;=30,15,IF(J9&lt;=60,13,IF(J9&lt;=90,11,IF(J9&lt;=120,9,IF(J9&lt;=180,6,3)))))</f>
        <v>15</v>
      </c>
      <c r="R9" s="9" t="n">
        <f aca="false">IF(K9=0,0,L9+M9+N9+O9+P9+Q9)</f>
        <v>0</v>
      </c>
      <c r="S9" s="8" t="str">
        <f aca="false">IF(K9=0,"Need Hex Data",IF(R9&gt;=75,"Tier 1",IF(R9&gt;=55,"Tier 2",IF(R9&gt;=35,"Tier 3","Below Threshold"))))</f>
        <v>Need Hex Data</v>
      </c>
    </row>
    <row r="10" customFormat="false" ht="15" hidden="false" customHeight="false" outlineLevel="0" collapsed="false">
      <c r="A10" s="4" t="s">
        <v>35</v>
      </c>
      <c r="B10" s="4" t="s">
        <v>33</v>
      </c>
      <c r="C10" s="4" t="s">
        <v>36</v>
      </c>
      <c r="D10" s="4" t="n">
        <v>26</v>
      </c>
      <c r="E10" s="4" t="n">
        <v>26</v>
      </c>
      <c r="F10" s="5" t="n">
        <f aca="false">IF(D10&gt;0,E10/D10,0)</f>
        <v>1</v>
      </c>
      <c r="G10" s="4" t="n">
        <v>22</v>
      </c>
      <c r="H10" s="6" t="n">
        <v>5169.6</v>
      </c>
      <c r="I10" s="4" t="s">
        <v>37</v>
      </c>
      <c r="J10" s="4" t="n">
        <v>19</v>
      </c>
      <c r="K10" s="7" t="n">
        <v>0</v>
      </c>
      <c r="L10" s="8" t="n">
        <f aca="false">IF(B10="Named User",7,IF(B10="Named User (Chargeback)",4,3))</f>
        <v>7</v>
      </c>
      <c r="M10" s="8" t="n">
        <f aca="false">IF(C10="Extra Green",25,IF(C10="Green",20,IF(C10="Yellow",8,IF(C10="Red",3,0))))</f>
        <v>20</v>
      </c>
      <c r="N10" s="8" t="n">
        <f aca="false">IF(F10&gt;=1,18,IF(F10&gt;=0.95,16,IF(F10&gt;=0.9,14,IF(F10&gt;=0.8,10,IF(F10&gt;=0.7,6,2)))))</f>
        <v>18</v>
      </c>
      <c r="O10" s="8" t="n">
        <f aca="false">IF(K10=0,0,IF(K10&gt;=50,25,IF(K10&gt;=30,22,IF(K10&gt;=20,18,IF(K10&gt;=10,14,IF(K10&gt;=5,10,5))))))</f>
        <v>0</v>
      </c>
      <c r="P10" s="8" t="n">
        <f aca="false">IF(H10&gt;=25000,10,IF(H10&gt;=15000,8,IF(H10&gt;=10000,6,IF(H10&gt;=5000,4,2))))</f>
        <v>4</v>
      </c>
      <c r="Q10" s="8" t="n">
        <f aca="false">IF(J10&lt;=30,15,IF(J10&lt;=60,13,IF(J10&lt;=90,11,IF(J10&lt;=120,9,IF(J10&lt;=180,6,3)))))</f>
        <v>15</v>
      </c>
      <c r="R10" s="9" t="n">
        <f aca="false">IF(K10=0,0,L10+M10+N10+O10+P10+Q10)</f>
        <v>0</v>
      </c>
      <c r="S10" s="8" t="str">
        <f aca="false">IF(K10=0,"Need Hex Data",IF(R10&gt;=75,"Tier 1",IF(R10&gt;=55,"Tier 2",IF(R10&gt;=35,"Tier 3","Below Threshold"))))</f>
        <v>Need Hex Data</v>
      </c>
    </row>
    <row r="11" customFormat="false" ht="15" hidden="false" customHeight="false" outlineLevel="0" collapsed="false">
      <c r="A11" s="4" t="s">
        <v>38</v>
      </c>
      <c r="B11" s="4" t="s">
        <v>33</v>
      </c>
      <c r="C11" s="4" t="s">
        <v>36</v>
      </c>
      <c r="D11" s="4" t="n">
        <v>20</v>
      </c>
      <c r="E11" s="4" t="n">
        <v>19</v>
      </c>
      <c r="F11" s="5" t="n">
        <f aca="false">IF(D11&gt;0,E11/D11,0)</f>
        <v>0.95</v>
      </c>
      <c r="G11" s="4" t="n">
        <v>15</v>
      </c>
      <c r="H11" s="6" t="n">
        <v>4308</v>
      </c>
      <c r="I11" s="4" t="s">
        <v>39</v>
      </c>
      <c r="J11" s="4" t="n">
        <v>23</v>
      </c>
      <c r="K11" s="7" t="n">
        <v>0</v>
      </c>
      <c r="L11" s="8" t="n">
        <f aca="false">IF(B11="Named User",7,IF(B11="Named User (Chargeback)",4,3))</f>
        <v>7</v>
      </c>
      <c r="M11" s="8" t="n">
        <f aca="false">IF(C11="Extra Green",25,IF(C11="Green",20,IF(C11="Yellow",8,IF(C11="Red",3,0))))</f>
        <v>20</v>
      </c>
      <c r="N11" s="8" t="n">
        <f aca="false">IF(F11&gt;=1,18,IF(F11&gt;=0.95,16,IF(F11&gt;=0.9,14,IF(F11&gt;=0.8,10,IF(F11&gt;=0.7,6,2)))))</f>
        <v>16</v>
      </c>
      <c r="O11" s="8" t="n">
        <f aca="false">IF(K11=0,0,IF(K11&gt;=50,25,IF(K11&gt;=30,22,IF(K11&gt;=20,18,IF(K11&gt;=10,14,IF(K11&gt;=5,10,5))))))</f>
        <v>0</v>
      </c>
      <c r="P11" s="8" t="n">
        <f aca="false">IF(H11&gt;=25000,10,IF(H11&gt;=15000,8,IF(H11&gt;=10000,6,IF(H11&gt;=5000,4,2))))</f>
        <v>2</v>
      </c>
      <c r="Q11" s="8" t="n">
        <f aca="false">IF(J11&lt;=30,15,IF(J11&lt;=60,13,IF(J11&lt;=90,11,IF(J11&lt;=120,9,IF(J11&lt;=180,6,3)))))</f>
        <v>15</v>
      </c>
      <c r="R11" s="9" t="n">
        <f aca="false">IF(K11=0,0,L11+M11+N11+O11+P11+Q11)</f>
        <v>0</v>
      </c>
      <c r="S11" s="8" t="str">
        <f aca="false">IF(K11=0,"Need Hex Data",IF(R11&gt;=75,"Tier 1",IF(R11&gt;=55,"Tier 2",IF(R11&gt;=35,"Tier 3","Below Threshold"))))</f>
        <v>Need Hex Data</v>
      </c>
    </row>
    <row r="12" customFormat="false" ht="15" hidden="false" customHeight="false" outlineLevel="0" collapsed="false">
      <c r="A12" s="4" t="s">
        <v>40</v>
      </c>
      <c r="B12" s="4" t="s">
        <v>33</v>
      </c>
      <c r="C12" s="4" t="s">
        <v>36</v>
      </c>
      <c r="D12" s="4" t="n">
        <v>25</v>
      </c>
      <c r="E12" s="4" t="n">
        <v>25</v>
      </c>
      <c r="F12" s="5" t="n">
        <f aca="false">IF(D12&gt;0,E12/D12,0)</f>
        <v>1</v>
      </c>
      <c r="G12" s="4" t="n">
        <v>22</v>
      </c>
      <c r="H12" s="6" t="n">
        <v>5385</v>
      </c>
      <c r="I12" s="4" t="s">
        <v>41</v>
      </c>
      <c r="J12" s="4" t="n">
        <v>26</v>
      </c>
      <c r="K12" s="7" t="n">
        <v>0</v>
      </c>
      <c r="L12" s="8" t="n">
        <f aca="false">IF(B12="Named User",7,IF(B12="Named User (Chargeback)",4,3))</f>
        <v>7</v>
      </c>
      <c r="M12" s="8" t="n">
        <f aca="false">IF(C12="Extra Green",25,IF(C12="Green",20,IF(C12="Yellow",8,IF(C12="Red",3,0))))</f>
        <v>20</v>
      </c>
      <c r="N12" s="8" t="n">
        <f aca="false">IF(F12&gt;=1,18,IF(F12&gt;=0.95,16,IF(F12&gt;=0.9,14,IF(F12&gt;=0.8,10,IF(F12&gt;=0.7,6,2)))))</f>
        <v>18</v>
      </c>
      <c r="O12" s="8" t="n">
        <f aca="false">IF(K12=0,0,IF(K12&gt;=50,25,IF(K12&gt;=30,22,IF(K12&gt;=20,18,IF(K12&gt;=10,14,IF(K12&gt;=5,10,5))))))</f>
        <v>0</v>
      </c>
      <c r="P12" s="8" t="n">
        <f aca="false">IF(H12&gt;=25000,10,IF(H12&gt;=15000,8,IF(H12&gt;=10000,6,IF(H12&gt;=5000,4,2))))</f>
        <v>4</v>
      </c>
      <c r="Q12" s="8" t="n">
        <f aca="false">IF(J12&lt;=30,15,IF(J12&lt;=60,13,IF(J12&lt;=90,11,IF(J12&lt;=120,9,IF(J12&lt;=180,6,3)))))</f>
        <v>15</v>
      </c>
      <c r="R12" s="9" t="n">
        <f aca="false">IF(K12=0,0,L12+M12+N12+O12+P12+Q12)</f>
        <v>0</v>
      </c>
      <c r="S12" s="8" t="str">
        <f aca="false">IF(K12=0,"Need Hex Data",IF(R12&gt;=75,"Tier 1",IF(R12&gt;=55,"Tier 2",IF(R12&gt;=35,"Tier 3","Below Threshold"))))</f>
        <v>Need Hex Data</v>
      </c>
    </row>
    <row r="13" customFormat="false" ht="15" hidden="false" customHeight="false" outlineLevel="0" collapsed="false">
      <c r="A13" s="4" t="s">
        <v>42</v>
      </c>
      <c r="B13" s="4" t="s">
        <v>22</v>
      </c>
      <c r="C13" s="4" t="s">
        <v>43</v>
      </c>
      <c r="D13" s="4" t="n">
        <v>63</v>
      </c>
      <c r="E13" s="4" t="n">
        <v>59</v>
      </c>
      <c r="F13" s="5" t="n">
        <f aca="false">IF(D13&gt;0,E13/D13,0)</f>
        <v>0.936507936507937</v>
      </c>
      <c r="G13" s="4" t="n">
        <v>36</v>
      </c>
      <c r="H13" s="6" t="n">
        <v>9262.2</v>
      </c>
      <c r="I13" s="4" t="s">
        <v>44</v>
      </c>
      <c r="J13" s="4" t="n">
        <v>35</v>
      </c>
      <c r="K13" s="7" t="n">
        <v>0</v>
      </c>
      <c r="L13" s="8" t="n">
        <f aca="false">IF(B13="Named User",7,IF(B13="Named User (Chargeback)",4,3))</f>
        <v>3</v>
      </c>
      <c r="M13" s="8" t="n">
        <f aca="false">IF(C13="Extra Green",25,IF(C13="Green",20,IF(C13="Yellow",8,IF(C13="Red",3,0))))</f>
        <v>8</v>
      </c>
      <c r="N13" s="8" t="n">
        <f aca="false">IF(F13&gt;=1,18,IF(F13&gt;=0.95,16,IF(F13&gt;=0.9,14,IF(F13&gt;=0.8,10,IF(F13&gt;=0.7,6,2)))))</f>
        <v>14</v>
      </c>
      <c r="O13" s="8" t="n">
        <f aca="false">IF(K13=0,0,IF(K13&gt;=50,25,IF(K13&gt;=30,22,IF(K13&gt;=20,18,IF(K13&gt;=10,14,IF(K13&gt;=5,10,5))))))</f>
        <v>0</v>
      </c>
      <c r="P13" s="8" t="n">
        <f aca="false">IF(H13&gt;=25000,10,IF(H13&gt;=15000,8,IF(H13&gt;=10000,6,IF(H13&gt;=5000,4,2))))</f>
        <v>4</v>
      </c>
      <c r="Q13" s="8" t="n">
        <f aca="false">IF(J13&lt;=30,15,IF(J13&lt;=60,13,IF(J13&lt;=90,11,IF(J13&lt;=120,9,IF(J13&lt;=180,6,3)))))</f>
        <v>13</v>
      </c>
      <c r="R13" s="9" t="n">
        <f aca="false">IF(K13=0,0,L13+M13+N13+O13+P13+Q13)</f>
        <v>0</v>
      </c>
      <c r="S13" s="8" t="str">
        <f aca="false">IF(K13=0,"Need Hex Data",IF(R13&gt;=75,"Tier 1",IF(R13&gt;=55,"Tier 2",IF(R13&gt;=35,"Tier 3","Below Threshold"))))</f>
        <v>Need Hex Data</v>
      </c>
    </row>
    <row r="14" customFormat="false" ht="15" hidden="false" customHeight="false" outlineLevel="0" collapsed="false">
      <c r="A14" s="4" t="s">
        <v>45</v>
      </c>
      <c r="B14" s="4" t="s">
        <v>22</v>
      </c>
      <c r="C14" s="4" t="s">
        <v>43</v>
      </c>
      <c r="D14" s="4" t="n">
        <v>30</v>
      </c>
      <c r="E14" s="4" t="n">
        <v>29</v>
      </c>
      <c r="F14" s="5" t="n">
        <f aca="false">IF(D14&gt;0,E14/D14,0)</f>
        <v>0.966666666666667</v>
      </c>
      <c r="G14" s="4" t="n">
        <v>18</v>
      </c>
      <c r="H14" s="6" t="n">
        <v>4308</v>
      </c>
      <c r="I14" s="4" t="s">
        <v>46</v>
      </c>
      <c r="J14" s="4" t="n">
        <v>36</v>
      </c>
      <c r="K14" s="7" t="n">
        <v>0</v>
      </c>
      <c r="L14" s="8" t="n">
        <f aca="false">IF(B14="Named User",7,IF(B14="Named User (Chargeback)",4,3))</f>
        <v>3</v>
      </c>
      <c r="M14" s="8" t="n">
        <f aca="false">IF(C14="Extra Green",25,IF(C14="Green",20,IF(C14="Yellow",8,IF(C14="Red",3,0))))</f>
        <v>8</v>
      </c>
      <c r="N14" s="8" t="n">
        <f aca="false">IF(F14&gt;=1,18,IF(F14&gt;=0.95,16,IF(F14&gt;=0.9,14,IF(F14&gt;=0.8,10,IF(F14&gt;=0.7,6,2)))))</f>
        <v>16</v>
      </c>
      <c r="O14" s="8" t="n">
        <f aca="false">IF(K14=0,0,IF(K14&gt;=50,25,IF(K14&gt;=30,22,IF(K14&gt;=20,18,IF(K14&gt;=10,14,IF(K14&gt;=5,10,5))))))</f>
        <v>0</v>
      </c>
      <c r="P14" s="8" t="n">
        <f aca="false">IF(H14&gt;=25000,10,IF(H14&gt;=15000,8,IF(H14&gt;=10000,6,IF(H14&gt;=5000,4,2))))</f>
        <v>2</v>
      </c>
      <c r="Q14" s="8" t="n">
        <f aca="false">IF(J14&lt;=30,15,IF(J14&lt;=60,13,IF(J14&lt;=90,11,IF(J14&lt;=120,9,IF(J14&lt;=180,6,3)))))</f>
        <v>13</v>
      </c>
      <c r="R14" s="9" t="n">
        <f aca="false">IF(K14=0,0,L14+M14+N14+O14+P14+Q14)</f>
        <v>0</v>
      </c>
      <c r="S14" s="8" t="str">
        <f aca="false">IF(K14=0,"Need Hex Data",IF(R14&gt;=75,"Tier 1",IF(R14&gt;=55,"Tier 2",IF(R14&gt;=35,"Tier 3","Below Threshold"))))</f>
        <v>Need Hex Data</v>
      </c>
    </row>
    <row r="15" customFormat="false" ht="15" hidden="false" customHeight="false" outlineLevel="0" collapsed="false">
      <c r="A15" s="4" t="s">
        <v>47</v>
      </c>
      <c r="B15" s="4" t="s">
        <v>33</v>
      </c>
      <c r="C15" s="4" t="s">
        <v>43</v>
      </c>
      <c r="D15" s="4" t="n">
        <v>62</v>
      </c>
      <c r="E15" s="4" t="n">
        <v>61</v>
      </c>
      <c r="F15" s="5" t="n">
        <f aca="false">IF(D15&gt;0,E15/D15,0)</f>
        <v>0.983870967741936</v>
      </c>
      <c r="G15" s="4" t="n">
        <v>43</v>
      </c>
      <c r="H15" s="6" t="n">
        <v>12924</v>
      </c>
      <c r="I15" s="4" t="s">
        <v>48</v>
      </c>
      <c r="J15" s="4" t="n">
        <v>41</v>
      </c>
      <c r="K15" s="7" t="n">
        <v>0</v>
      </c>
      <c r="L15" s="8" t="n">
        <f aca="false">IF(B15="Named User",7,IF(B15="Named User (Chargeback)",4,3))</f>
        <v>7</v>
      </c>
      <c r="M15" s="8" t="n">
        <f aca="false">IF(C15="Extra Green",25,IF(C15="Green",20,IF(C15="Yellow",8,IF(C15="Red",3,0))))</f>
        <v>8</v>
      </c>
      <c r="N15" s="8" t="n">
        <f aca="false">IF(F15&gt;=1,18,IF(F15&gt;=0.95,16,IF(F15&gt;=0.9,14,IF(F15&gt;=0.8,10,IF(F15&gt;=0.7,6,2)))))</f>
        <v>16</v>
      </c>
      <c r="O15" s="8" t="n">
        <f aca="false">IF(K15=0,0,IF(K15&gt;=50,25,IF(K15&gt;=30,22,IF(K15&gt;=20,18,IF(K15&gt;=10,14,IF(K15&gt;=5,10,5))))))</f>
        <v>0</v>
      </c>
      <c r="P15" s="8" t="n">
        <f aca="false">IF(H15&gt;=25000,10,IF(H15&gt;=15000,8,IF(H15&gt;=10000,6,IF(H15&gt;=5000,4,2))))</f>
        <v>6</v>
      </c>
      <c r="Q15" s="8" t="n">
        <f aca="false">IF(J15&lt;=30,15,IF(J15&lt;=60,13,IF(J15&lt;=90,11,IF(J15&lt;=120,9,IF(J15&lt;=180,6,3)))))</f>
        <v>13</v>
      </c>
      <c r="R15" s="9" t="n">
        <f aca="false">IF(K15=0,0,L15+M15+N15+O15+P15+Q15)</f>
        <v>0</v>
      </c>
      <c r="S15" s="8" t="str">
        <f aca="false">IF(K15=0,"Need Hex Data",IF(R15&gt;=75,"Tier 1",IF(R15&gt;=55,"Tier 2",IF(R15&gt;=35,"Tier 3","Below Threshold"))))</f>
        <v>Need Hex Data</v>
      </c>
    </row>
    <row r="16" customFormat="false" ht="15" hidden="false" customHeight="false" outlineLevel="0" collapsed="false">
      <c r="A16" s="4" t="s">
        <v>49</v>
      </c>
      <c r="B16" s="4" t="s">
        <v>33</v>
      </c>
      <c r="C16" s="4" t="s">
        <v>23</v>
      </c>
      <c r="D16" s="4" t="n">
        <v>20</v>
      </c>
      <c r="E16" s="4" t="n">
        <v>10</v>
      </c>
      <c r="F16" s="5" t="n">
        <f aca="false">IF(D16&gt;0,E16/D16,0)</f>
        <v>0.5</v>
      </c>
      <c r="G16" s="4" t="n">
        <v>3</v>
      </c>
      <c r="H16" s="6" t="n">
        <v>4308</v>
      </c>
      <c r="I16" s="4" t="s">
        <v>50</v>
      </c>
      <c r="J16" s="4" t="n">
        <v>44</v>
      </c>
      <c r="K16" s="7" t="n">
        <v>0</v>
      </c>
      <c r="L16" s="8" t="n">
        <f aca="false">IF(B16="Named User",7,IF(B16="Named User (Chargeback)",4,3))</f>
        <v>7</v>
      </c>
      <c r="M16" s="8" t="n">
        <f aca="false">IF(C16="Extra Green",25,IF(C16="Green",20,IF(C16="Yellow",8,IF(C16="Red",3,0))))</f>
        <v>3</v>
      </c>
      <c r="N16" s="8" t="n">
        <f aca="false">IF(F16&gt;=1,18,IF(F16&gt;=0.95,16,IF(F16&gt;=0.9,14,IF(F16&gt;=0.8,10,IF(F16&gt;=0.7,6,2)))))</f>
        <v>2</v>
      </c>
      <c r="O16" s="8" t="n">
        <f aca="false">IF(K16=0,0,IF(K16&gt;=50,25,IF(K16&gt;=30,22,IF(K16&gt;=20,18,IF(K16&gt;=10,14,IF(K16&gt;=5,10,5))))))</f>
        <v>0</v>
      </c>
      <c r="P16" s="8" t="n">
        <f aca="false">IF(H16&gt;=25000,10,IF(H16&gt;=15000,8,IF(H16&gt;=10000,6,IF(H16&gt;=5000,4,2))))</f>
        <v>2</v>
      </c>
      <c r="Q16" s="8" t="n">
        <f aca="false">IF(J16&lt;=30,15,IF(J16&lt;=60,13,IF(J16&lt;=90,11,IF(J16&lt;=120,9,IF(J16&lt;=180,6,3)))))</f>
        <v>13</v>
      </c>
      <c r="R16" s="9" t="n">
        <f aca="false">IF(K16=0,0,L16+M16+N16+O16+P16+Q16)</f>
        <v>0</v>
      </c>
      <c r="S16" s="8" t="str">
        <f aca="false">IF(K16=0,"Need Hex Data",IF(R16&gt;=75,"Tier 1",IF(R16&gt;=55,"Tier 2",IF(R16&gt;=35,"Tier 3","Below Threshold"))))</f>
        <v>Need Hex Data</v>
      </c>
    </row>
    <row r="17" customFormat="false" ht="15" hidden="false" customHeight="false" outlineLevel="0" collapsed="false">
      <c r="A17" s="4" t="s">
        <v>51</v>
      </c>
      <c r="B17" s="4" t="s">
        <v>30</v>
      </c>
      <c r="C17" s="4" t="s">
        <v>23</v>
      </c>
      <c r="D17" s="4" t="n">
        <v>25</v>
      </c>
      <c r="E17" s="4" t="n">
        <v>24</v>
      </c>
      <c r="F17" s="5" t="n">
        <f aca="false">IF(D17&gt;0,E17/D17,0)</f>
        <v>0.96</v>
      </c>
      <c r="G17" s="4" t="n">
        <v>18</v>
      </c>
      <c r="H17" s="6" t="n">
        <v>5385</v>
      </c>
      <c r="I17" s="4" t="s">
        <v>50</v>
      </c>
      <c r="J17" s="4" t="n">
        <v>44</v>
      </c>
      <c r="K17" s="7" t="n">
        <v>0</v>
      </c>
      <c r="L17" s="8" t="n">
        <f aca="false">IF(B17="Named User",7,IF(B17="Named User (Chargeback)",4,3))</f>
        <v>4</v>
      </c>
      <c r="M17" s="8" t="n">
        <f aca="false">IF(C17="Extra Green",25,IF(C17="Green",20,IF(C17="Yellow",8,IF(C17="Red",3,0))))</f>
        <v>3</v>
      </c>
      <c r="N17" s="8" t="n">
        <f aca="false">IF(F17&gt;=1,18,IF(F17&gt;=0.95,16,IF(F17&gt;=0.9,14,IF(F17&gt;=0.8,10,IF(F17&gt;=0.7,6,2)))))</f>
        <v>16</v>
      </c>
      <c r="O17" s="8" t="n">
        <f aca="false">IF(K17=0,0,IF(K17&gt;=50,25,IF(K17&gt;=30,22,IF(K17&gt;=20,18,IF(K17&gt;=10,14,IF(K17&gt;=5,10,5))))))</f>
        <v>0</v>
      </c>
      <c r="P17" s="8" t="n">
        <f aca="false">IF(H17&gt;=25000,10,IF(H17&gt;=15000,8,IF(H17&gt;=10000,6,IF(H17&gt;=5000,4,2))))</f>
        <v>4</v>
      </c>
      <c r="Q17" s="8" t="n">
        <f aca="false">IF(J17&lt;=30,15,IF(J17&lt;=60,13,IF(J17&lt;=90,11,IF(J17&lt;=120,9,IF(J17&lt;=180,6,3)))))</f>
        <v>13</v>
      </c>
      <c r="R17" s="9" t="n">
        <f aca="false">IF(K17=0,0,L17+M17+N17+O17+P17+Q17)</f>
        <v>0</v>
      </c>
      <c r="S17" s="8" t="str">
        <f aca="false">IF(K17=0,"Need Hex Data",IF(R17&gt;=75,"Tier 1",IF(R17&gt;=55,"Tier 2",IF(R17&gt;=35,"Tier 3","Below Threshold"))))</f>
        <v>Need Hex Data</v>
      </c>
    </row>
    <row r="18" customFormat="false" ht="15" hidden="false" customHeight="false" outlineLevel="0" collapsed="false">
      <c r="A18" s="4" t="s">
        <v>52</v>
      </c>
      <c r="B18" s="4" t="s">
        <v>33</v>
      </c>
      <c r="C18" s="4" t="s">
        <v>43</v>
      </c>
      <c r="D18" s="4" t="n">
        <v>21</v>
      </c>
      <c r="E18" s="4" t="n">
        <v>20</v>
      </c>
      <c r="F18" s="5" t="n">
        <f aca="false">IF(D18&gt;0,E18/D18,0)</f>
        <v>0.952380952380952</v>
      </c>
      <c r="G18" s="4" t="n">
        <v>11</v>
      </c>
      <c r="H18" s="6" t="n">
        <v>4523.4</v>
      </c>
      <c r="I18" s="4" t="s">
        <v>53</v>
      </c>
      <c r="J18" s="4" t="n">
        <v>47</v>
      </c>
      <c r="K18" s="7" t="n">
        <v>0</v>
      </c>
      <c r="L18" s="8" t="n">
        <f aca="false">IF(B18="Named User",7,IF(B18="Named User (Chargeback)",4,3))</f>
        <v>7</v>
      </c>
      <c r="M18" s="8" t="n">
        <f aca="false">IF(C18="Extra Green",25,IF(C18="Green",20,IF(C18="Yellow",8,IF(C18="Red",3,0))))</f>
        <v>8</v>
      </c>
      <c r="N18" s="8" t="n">
        <f aca="false">IF(F18&gt;=1,18,IF(F18&gt;=0.95,16,IF(F18&gt;=0.9,14,IF(F18&gt;=0.8,10,IF(F18&gt;=0.7,6,2)))))</f>
        <v>16</v>
      </c>
      <c r="O18" s="8" t="n">
        <f aca="false">IF(K18=0,0,IF(K18&gt;=50,25,IF(K18&gt;=30,22,IF(K18&gt;=20,18,IF(K18&gt;=10,14,IF(K18&gt;=5,10,5))))))</f>
        <v>0</v>
      </c>
      <c r="P18" s="8" t="n">
        <f aca="false">IF(H18&gt;=25000,10,IF(H18&gt;=15000,8,IF(H18&gt;=10000,6,IF(H18&gt;=5000,4,2))))</f>
        <v>2</v>
      </c>
      <c r="Q18" s="8" t="n">
        <f aca="false">IF(J18&lt;=30,15,IF(J18&lt;=60,13,IF(J18&lt;=90,11,IF(J18&lt;=120,9,IF(J18&lt;=180,6,3)))))</f>
        <v>13</v>
      </c>
      <c r="R18" s="9" t="n">
        <f aca="false">IF(K18=0,0,L18+M18+N18+O18+P18+Q18)</f>
        <v>0</v>
      </c>
      <c r="S18" s="8" t="str">
        <f aca="false">IF(K18=0,"Need Hex Data",IF(R18&gt;=75,"Tier 1",IF(R18&gt;=55,"Tier 2",IF(R18&gt;=35,"Tier 3","Below Threshold"))))</f>
        <v>Need Hex Data</v>
      </c>
    </row>
    <row r="19" customFormat="false" ht="15" hidden="false" customHeight="false" outlineLevel="0" collapsed="false">
      <c r="A19" s="4" t="s">
        <v>54</v>
      </c>
      <c r="B19" s="4" t="s">
        <v>33</v>
      </c>
      <c r="C19" s="4" t="s">
        <v>36</v>
      </c>
      <c r="D19" s="4" t="n">
        <v>20</v>
      </c>
      <c r="E19" s="4" t="n">
        <v>19</v>
      </c>
      <c r="F19" s="5" t="n">
        <f aca="false">IF(D19&gt;0,E19/D19,0)</f>
        <v>0.95</v>
      </c>
      <c r="G19" s="4" t="n">
        <v>18</v>
      </c>
      <c r="H19" s="6" t="n">
        <v>4308</v>
      </c>
      <c r="I19" s="4" t="s">
        <v>55</v>
      </c>
      <c r="J19" s="4" t="n">
        <v>59</v>
      </c>
      <c r="K19" s="7" t="n">
        <v>0</v>
      </c>
      <c r="L19" s="8" t="n">
        <f aca="false">IF(B19="Named User",7,IF(B19="Named User (Chargeback)",4,3))</f>
        <v>7</v>
      </c>
      <c r="M19" s="8" t="n">
        <f aca="false">IF(C19="Extra Green",25,IF(C19="Green",20,IF(C19="Yellow",8,IF(C19="Red",3,0))))</f>
        <v>20</v>
      </c>
      <c r="N19" s="8" t="n">
        <f aca="false">IF(F19&gt;=1,18,IF(F19&gt;=0.95,16,IF(F19&gt;=0.9,14,IF(F19&gt;=0.8,10,IF(F19&gt;=0.7,6,2)))))</f>
        <v>16</v>
      </c>
      <c r="O19" s="8" t="n">
        <f aca="false">IF(K19=0,0,IF(K19&gt;=50,25,IF(K19&gt;=30,22,IF(K19&gt;=20,18,IF(K19&gt;=10,14,IF(K19&gt;=5,10,5))))))</f>
        <v>0</v>
      </c>
      <c r="P19" s="8" t="n">
        <f aca="false">IF(H19&gt;=25000,10,IF(H19&gt;=15000,8,IF(H19&gt;=10000,6,IF(H19&gt;=5000,4,2))))</f>
        <v>2</v>
      </c>
      <c r="Q19" s="8" t="n">
        <f aca="false">IF(J19&lt;=30,15,IF(J19&lt;=60,13,IF(J19&lt;=90,11,IF(J19&lt;=120,9,IF(J19&lt;=180,6,3)))))</f>
        <v>13</v>
      </c>
      <c r="R19" s="9" t="n">
        <f aca="false">IF(K19=0,0,L19+M19+N19+O19+P19+Q19)</f>
        <v>0</v>
      </c>
      <c r="S19" s="8" t="str">
        <f aca="false">IF(K19=0,"Need Hex Data",IF(R19&gt;=75,"Tier 1",IF(R19&gt;=55,"Tier 2",IF(R19&gt;=35,"Tier 3","Below Threshold"))))</f>
        <v>Need Hex Data</v>
      </c>
    </row>
    <row r="20" customFormat="false" ht="15" hidden="false" customHeight="false" outlineLevel="0" collapsed="false">
      <c r="A20" s="4" t="s">
        <v>56</v>
      </c>
      <c r="B20" s="4" t="s">
        <v>33</v>
      </c>
      <c r="C20" s="4" t="s">
        <v>43</v>
      </c>
      <c r="D20" s="4" t="n">
        <v>52</v>
      </c>
      <c r="E20" s="4" t="n">
        <v>52</v>
      </c>
      <c r="F20" s="5" t="n">
        <f aca="false">IF(D20&gt;0,E20/D20,0)</f>
        <v>1</v>
      </c>
      <c r="G20" s="4" t="n">
        <v>38</v>
      </c>
      <c r="H20" s="6" t="n">
        <v>10770</v>
      </c>
      <c r="I20" s="4" t="s">
        <v>55</v>
      </c>
      <c r="J20" s="4" t="n">
        <v>59</v>
      </c>
      <c r="K20" s="7" t="n">
        <v>0</v>
      </c>
      <c r="L20" s="8" t="n">
        <f aca="false">IF(B20="Named User",7,IF(B20="Named User (Chargeback)",4,3))</f>
        <v>7</v>
      </c>
      <c r="M20" s="8" t="n">
        <f aca="false">IF(C20="Extra Green",25,IF(C20="Green",20,IF(C20="Yellow",8,IF(C20="Red",3,0))))</f>
        <v>8</v>
      </c>
      <c r="N20" s="8" t="n">
        <f aca="false">IF(F20&gt;=1,18,IF(F20&gt;=0.95,16,IF(F20&gt;=0.9,14,IF(F20&gt;=0.8,10,IF(F20&gt;=0.7,6,2)))))</f>
        <v>18</v>
      </c>
      <c r="O20" s="8" t="n">
        <f aca="false">IF(K20=0,0,IF(K20&gt;=50,25,IF(K20&gt;=30,22,IF(K20&gt;=20,18,IF(K20&gt;=10,14,IF(K20&gt;=5,10,5))))))</f>
        <v>0</v>
      </c>
      <c r="P20" s="8" t="n">
        <f aca="false">IF(H20&gt;=25000,10,IF(H20&gt;=15000,8,IF(H20&gt;=10000,6,IF(H20&gt;=5000,4,2))))</f>
        <v>6</v>
      </c>
      <c r="Q20" s="8" t="n">
        <f aca="false">IF(J20&lt;=30,15,IF(J20&lt;=60,13,IF(J20&lt;=90,11,IF(J20&lt;=120,9,IF(J20&lt;=180,6,3)))))</f>
        <v>13</v>
      </c>
      <c r="R20" s="9" t="n">
        <f aca="false">IF(K20=0,0,L20+M20+N20+O20+P20+Q20)</f>
        <v>0</v>
      </c>
      <c r="S20" s="8" t="str">
        <f aca="false">IF(K20=0,"Need Hex Data",IF(R20&gt;=75,"Tier 1",IF(R20&gt;=55,"Tier 2",IF(R20&gt;=35,"Tier 3","Below Threshold"))))</f>
        <v>Need Hex Data</v>
      </c>
    </row>
    <row r="21" customFormat="false" ht="15" hidden="false" customHeight="false" outlineLevel="0" collapsed="false">
      <c r="A21" s="4" t="s">
        <v>57</v>
      </c>
      <c r="B21" s="4" t="s">
        <v>33</v>
      </c>
      <c r="C21" s="4" t="s">
        <v>43</v>
      </c>
      <c r="D21" s="4" t="n">
        <v>65</v>
      </c>
      <c r="E21" s="4" t="n">
        <v>63</v>
      </c>
      <c r="F21" s="5" t="n">
        <f aca="false">IF(D21&gt;0,E21/D21,0)</f>
        <v>0.969230769230769</v>
      </c>
      <c r="G21" s="4" t="n">
        <v>47</v>
      </c>
      <c r="H21" s="6" t="n">
        <v>14001</v>
      </c>
      <c r="I21" s="4" t="s">
        <v>58</v>
      </c>
      <c r="J21" s="4" t="n">
        <v>61</v>
      </c>
      <c r="K21" s="7" t="n">
        <v>0</v>
      </c>
      <c r="L21" s="8" t="n">
        <f aca="false">IF(B21="Named User",7,IF(B21="Named User (Chargeback)",4,3))</f>
        <v>7</v>
      </c>
      <c r="M21" s="8" t="n">
        <f aca="false">IF(C21="Extra Green",25,IF(C21="Green",20,IF(C21="Yellow",8,IF(C21="Red",3,0))))</f>
        <v>8</v>
      </c>
      <c r="N21" s="8" t="n">
        <f aca="false">IF(F21&gt;=1,18,IF(F21&gt;=0.95,16,IF(F21&gt;=0.9,14,IF(F21&gt;=0.8,10,IF(F21&gt;=0.7,6,2)))))</f>
        <v>16</v>
      </c>
      <c r="O21" s="8" t="n">
        <f aca="false">IF(K21=0,0,IF(K21&gt;=50,25,IF(K21&gt;=30,22,IF(K21&gt;=20,18,IF(K21&gt;=10,14,IF(K21&gt;=5,10,5))))))</f>
        <v>0</v>
      </c>
      <c r="P21" s="8" t="n">
        <f aca="false">IF(H21&gt;=25000,10,IF(H21&gt;=15000,8,IF(H21&gt;=10000,6,IF(H21&gt;=5000,4,2))))</f>
        <v>6</v>
      </c>
      <c r="Q21" s="8" t="n">
        <f aca="false">IF(J21&lt;=30,15,IF(J21&lt;=60,13,IF(J21&lt;=90,11,IF(J21&lt;=120,9,IF(J21&lt;=180,6,3)))))</f>
        <v>11</v>
      </c>
      <c r="R21" s="9" t="n">
        <f aca="false">IF(K21=0,0,L21+M21+N21+O21+P21+Q21)</f>
        <v>0</v>
      </c>
      <c r="S21" s="8" t="str">
        <f aca="false">IF(K21=0,"Need Hex Data",IF(R21&gt;=75,"Tier 1",IF(R21&gt;=55,"Tier 2",IF(R21&gt;=35,"Tier 3","Below Threshold"))))</f>
        <v>Need Hex Data</v>
      </c>
    </row>
    <row r="22" customFormat="false" ht="15" hidden="false" customHeight="false" outlineLevel="0" collapsed="false">
      <c r="A22" s="4" t="s">
        <v>59</v>
      </c>
      <c r="B22" s="4" t="s">
        <v>33</v>
      </c>
      <c r="C22" s="4" t="s">
        <v>36</v>
      </c>
      <c r="D22" s="4" t="n">
        <v>35</v>
      </c>
      <c r="E22" s="4" t="n">
        <v>35</v>
      </c>
      <c r="F22" s="5" t="n">
        <f aca="false">IF(D22&gt;0,E22/D22,0)</f>
        <v>1</v>
      </c>
      <c r="G22" s="4" t="n">
        <v>33</v>
      </c>
      <c r="H22" s="6" t="n">
        <v>7323.6</v>
      </c>
      <c r="I22" s="4" t="s">
        <v>60</v>
      </c>
      <c r="J22" s="4" t="n">
        <v>63</v>
      </c>
      <c r="K22" s="7" t="n">
        <v>0</v>
      </c>
      <c r="L22" s="8" t="n">
        <f aca="false">IF(B22="Named User",7,IF(B22="Named User (Chargeback)",4,3))</f>
        <v>7</v>
      </c>
      <c r="M22" s="8" t="n">
        <f aca="false">IF(C22="Extra Green",25,IF(C22="Green",20,IF(C22="Yellow",8,IF(C22="Red",3,0))))</f>
        <v>20</v>
      </c>
      <c r="N22" s="8" t="n">
        <f aca="false">IF(F22&gt;=1,18,IF(F22&gt;=0.95,16,IF(F22&gt;=0.9,14,IF(F22&gt;=0.8,10,IF(F22&gt;=0.7,6,2)))))</f>
        <v>18</v>
      </c>
      <c r="O22" s="8" t="n">
        <f aca="false">IF(K22=0,0,IF(K22&gt;=50,25,IF(K22&gt;=30,22,IF(K22&gt;=20,18,IF(K22&gt;=10,14,IF(K22&gt;=5,10,5))))))</f>
        <v>0</v>
      </c>
      <c r="P22" s="8" t="n">
        <f aca="false">IF(H22&gt;=25000,10,IF(H22&gt;=15000,8,IF(H22&gt;=10000,6,IF(H22&gt;=5000,4,2))))</f>
        <v>4</v>
      </c>
      <c r="Q22" s="8" t="n">
        <f aca="false">IF(J22&lt;=30,15,IF(J22&lt;=60,13,IF(J22&lt;=90,11,IF(J22&lt;=120,9,IF(J22&lt;=180,6,3)))))</f>
        <v>11</v>
      </c>
      <c r="R22" s="9" t="n">
        <f aca="false">IF(K22=0,0,L22+M22+N22+O22+P22+Q22)</f>
        <v>0</v>
      </c>
      <c r="S22" s="8" t="str">
        <f aca="false">IF(K22=0,"Need Hex Data",IF(R22&gt;=75,"Tier 1",IF(R22&gt;=55,"Tier 2",IF(R22&gt;=35,"Tier 3","Below Threshold"))))</f>
        <v>Need Hex Data</v>
      </c>
    </row>
    <row r="23" customFormat="false" ht="15" hidden="false" customHeight="false" outlineLevel="0" collapsed="false">
      <c r="A23" s="4" t="s">
        <v>61</v>
      </c>
      <c r="B23" s="4" t="s">
        <v>33</v>
      </c>
      <c r="C23" s="4" t="s">
        <v>43</v>
      </c>
      <c r="D23" s="4" t="n">
        <v>50</v>
      </c>
      <c r="E23" s="4" t="n">
        <v>44</v>
      </c>
      <c r="F23" s="5" t="n">
        <f aca="false">IF(D23&gt;0,E23/D23,0)</f>
        <v>0.88</v>
      </c>
      <c r="G23" s="4" t="n">
        <v>29</v>
      </c>
      <c r="H23" s="6" t="n">
        <v>10770</v>
      </c>
      <c r="I23" s="4" t="s">
        <v>62</v>
      </c>
      <c r="J23" s="4" t="n">
        <v>66</v>
      </c>
      <c r="K23" s="7" t="n">
        <v>0</v>
      </c>
      <c r="L23" s="8" t="n">
        <f aca="false">IF(B23="Named User",7,IF(B23="Named User (Chargeback)",4,3))</f>
        <v>7</v>
      </c>
      <c r="M23" s="8" t="n">
        <f aca="false">IF(C23="Extra Green",25,IF(C23="Green",20,IF(C23="Yellow",8,IF(C23="Red",3,0))))</f>
        <v>8</v>
      </c>
      <c r="N23" s="8" t="n">
        <f aca="false">IF(F23&gt;=1,18,IF(F23&gt;=0.95,16,IF(F23&gt;=0.9,14,IF(F23&gt;=0.8,10,IF(F23&gt;=0.7,6,2)))))</f>
        <v>10</v>
      </c>
      <c r="O23" s="8" t="n">
        <f aca="false">IF(K23=0,0,IF(K23&gt;=50,25,IF(K23&gt;=30,22,IF(K23&gt;=20,18,IF(K23&gt;=10,14,IF(K23&gt;=5,10,5))))))</f>
        <v>0</v>
      </c>
      <c r="P23" s="8" t="n">
        <f aca="false">IF(H23&gt;=25000,10,IF(H23&gt;=15000,8,IF(H23&gt;=10000,6,IF(H23&gt;=5000,4,2))))</f>
        <v>6</v>
      </c>
      <c r="Q23" s="8" t="n">
        <f aca="false">IF(J23&lt;=30,15,IF(J23&lt;=60,13,IF(J23&lt;=90,11,IF(J23&lt;=120,9,IF(J23&lt;=180,6,3)))))</f>
        <v>11</v>
      </c>
      <c r="R23" s="9" t="n">
        <f aca="false">IF(K23=0,0,L23+M23+N23+O23+P23+Q23)</f>
        <v>0</v>
      </c>
      <c r="S23" s="8" t="str">
        <f aca="false">IF(K23=0,"Need Hex Data",IF(R23&gt;=75,"Tier 1",IF(R23&gt;=55,"Tier 2",IF(R23&gt;=35,"Tier 3","Below Threshold"))))</f>
        <v>Need Hex Data</v>
      </c>
    </row>
    <row r="24" customFormat="false" ht="15" hidden="false" customHeight="false" outlineLevel="0" collapsed="false">
      <c r="A24" s="4" t="s">
        <v>63</v>
      </c>
      <c r="B24" s="4" t="s">
        <v>33</v>
      </c>
      <c r="C24" s="4" t="s">
        <v>43</v>
      </c>
      <c r="D24" s="4" t="n">
        <v>73</v>
      </c>
      <c r="E24" s="4" t="n">
        <v>72</v>
      </c>
      <c r="F24" s="5" t="n">
        <f aca="false">IF(D24&gt;0,E24/D24,0)</f>
        <v>0.986301369863014</v>
      </c>
      <c r="G24" s="4" t="n">
        <v>42</v>
      </c>
      <c r="H24" s="6" t="n">
        <v>15724.2</v>
      </c>
      <c r="I24" s="4" t="s">
        <v>64</v>
      </c>
      <c r="J24" s="4" t="n">
        <v>73</v>
      </c>
      <c r="K24" s="7" t="n">
        <v>0</v>
      </c>
      <c r="L24" s="8" t="n">
        <f aca="false">IF(B24="Named User",7,IF(B24="Named User (Chargeback)",4,3))</f>
        <v>7</v>
      </c>
      <c r="M24" s="8" t="n">
        <f aca="false">IF(C24="Extra Green",25,IF(C24="Green",20,IF(C24="Yellow",8,IF(C24="Red",3,0))))</f>
        <v>8</v>
      </c>
      <c r="N24" s="8" t="n">
        <f aca="false">IF(F24&gt;=1,18,IF(F24&gt;=0.95,16,IF(F24&gt;=0.9,14,IF(F24&gt;=0.8,10,IF(F24&gt;=0.7,6,2)))))</f>
        <v>16</v>
      </c>
      <c r="O24" s="8" t="n">
        <f aca="false">IF(K24=0,0,IF(K24&gt;=50,25,IF(K24&gt;=30,22,IF(K24&gt;=20,18,IF(K24&gt;=10,14,IF(K24&gt;=5,10,5))))))</f>
        <v>0</v>
      </c>
      <c r="P24" s="8" t="n">
        <f aca="false">IF(H24&gt;=25000,10,IF(H24&gt;=15000,8,IF(H24&gt;=10000,6,IF(H24&gt;=5000,4,2))))</f>
        <v>8</v>
      </c>
      <c r="Q24" s="8" t="n">
        <f aca="false">IF(J24&lt;=30,15,IF(J24&lt;=60,13,IF(J24&lt;=90,11,IF(J24&lt;=120,9,IF(J24&lt;=180,6,3)))))</f>
        <v>11</v>
      </c>
      <c r="R24" s="9" t="n">
        <f aca="false">IF(K24=0,0,L24+M24+N24+O24+P24+Q24)</f>
        <v>0</v>
      </c>
      <c r="S24" s="8" t="str">
        <f aca="false">IF(K24=0,"Need Hex Data",IF(R24&gt;=75,"Tier 1",IF(R24&gt;=55,"Tier 2",IF(R24&gt;=35,"Tier 3","Below Threshold"))))</f>
        <v>Need Hex Data</v>
      </c>
    </row>
    <row r="25" customFormat="false" ht="15" hidden="false" customHeight="false" outlineLevel="0" collapsed="false">
      <c r="A25" s="4" t="s">
        <v>65</v>
      </c>
      <c r="B25" s="4" t="s">
        <v>22</v>
      </c>
      <c r="C25" s="4" t="s">
        <v>23</v>
      </c>
      <c r="D25" s="4" t="n">
        <v>47</v>
      </c>
      <c r="E25" s="4" t="n">
        <v>44</v>
      </c>
      <c r="F25" s="5" t="n">
        <f aca="false">IF(D25&gt;0,E25/D25,0)</f>
        <v>0.936170212765958</v>
      </c>
      <c r="G25" s="4" t="n">
        <v>30</v>
      </c>
      <c r="H25" s="6" t="n">
        <v>9477.6</v>
      </c>
      <c r="I25" s="4" t="s">
        <v>64</v>
      </c>
      <c r="J25" s="4" t="n">
        <v>73</v>
      </c>
      <c r="K25" s="7" t="n">
        <v>0</v>
      </c>
      <c r="L25" s="8" t="n">
        <f aca="false">IF(B25="Named User",7,IF(B25="Named User (Chargeback)",4,3))</f>
        <v>3</v>
      </c>
      <c r="M25" s="8" t="n">
        <f aca="false">IF(C25="Extra Green",25,IF(C25="Green",20,IF(C25="Yellow",8,IF(C25="Red",3,0))))</f>
        <v>3</v>
      </c>
      <c r="N25" s="8" t="n">
        <f aca="false">IF(F25&gt;=1,18,IF(F25&gt;=0.95,16,IF(F25&gt;=0.9,14,IF(F25&gt;=0.8,10,IF(F25&gt;=0.7,6,2)))))</f>
        <v>14</v>
      </c>
      <c r="O25" s="8" t="n">
        <f aca="false">IF(K25=0,0,IF(K25&gt;=50,25,IF(K25&gt;=30,22,IF(K25&gt;=20,18,IF(K25&gt;=10,14,IF(K25&gt;=5,10,5))))))</f>
        <v>0</v>
      </c>
      <c r="P25" s="8" t="n">
        <f aca="false">IF(H25&gt;=25000,10,IF(H25&gt;=15000,8,IF(H25&gt;=10000,6,IF(H25&gt;=5000,4,2))))</f>
        <v>4</v>
      </c>
      <c r="Q25" s="8" t="n">
        <f aca="false">IF(J25&lt;=30,15,IF(J25&lt;=60,13,IF(J25&lt;=90,11,IF(J25&lt;=120,9,IF(J25&lt;=180,6,3)))))</f>
        <v>11</v>
      </c>
      <c r="R25" s="9" t="n">
        <f aca="false">IF(K25=0,0,L25+M25+N25+O25+P25+Q25)</f>
        <v>0</v>
      </c>
      <c r="S25" s="8" t="str">
        <f aca="false">IF(K25=0,"Need Hex Data",IF(R25&gt;=75,"Tier 1",IF(R25&gt;=55,"Tier 2",IF(R25&gt;=35,"Tier 3","Below Threshold"))))</f>
        <v>Need Hex Data</v>
      </c>
    </row>
    <row r="26" customFormat="false" ht="15" hidden="false" customHeight="false" outlineLevel="0" collapsed="false">
      <c r="A26" s="4" t="s">
        <v>66</v>
      </c>
      <c r="B26" s="4" t="s">
        <v>33</v>
      </c>
      <c r="C26" s="4" t="s">
        <v>36</v>
      </c>
      <c r="D26" s="4" t="n">
        <v>49</v>
      </c>
      <c r="E26" s="4" t="n">
        <v>47</v>
      </c>
      <c r="F26" s="5" t="n">
        <f aca="false">IF(D26&gt;0,E26/D26,0)</f>
        <v>0.959183673469388</v>
      </c>
      <c r="G26" s="4" t="n">
        <v>40</v>
      </c>
      <c r="H26" s="6" t="n">
        <v>10123.8</v>
      </c>
      <c r="I26" s="4" t="s">
        <v>67</v>
      </c>
      <c r="J26" s="4" t="n">
        <v>74</v>
      </c>
      <c r="K26" s="7" t="n">
        <v>0</v>
      </c>
      <c r="L26" s="8" t="n">
        <f aca="false">IF(B26="Named User",7,IF(B26="Named User (Chargeback)",4,3))</f>
        <v>7</v>
      </c>
      <c r="M26" s="8" t="n">
        <f aca="false">IF(C26="Extra Green",25,IF(C26="Green",20,IF(C26="Yellow",8,IF(C26="Red",3,0))))</f>
        <v>20</v>
      </c>
      <c r="N26" s="8" t="n">
        <f aca="false">IF(F26&gt;=1,18,IF(F26&gt;=0.95,16,IF(F26&gt;=0.9,14,IF(F26&gt;=0.8,10,IF(F26&gt;=0.7,6,2)))))</f>
        <v>16</v>
      </c>
      <c r="O26" s="8" t="n">
        <f aca="false">IF(K26=0,0,IF(K26&gt;=50,25,IF(K26&gt;=30,22,IF(K26&gt;=20,18,IF(K26&gt;=10,14,IF(K26&gt;=5,10,5))))))</f>
        <v>0</v>
      </c>
      <c r="P26" s="8" t="n">
        <f aca="false">IF(H26&gt;=25000,10,IF(H26&gt;=15000,8,IF(H26&gt;=10000,6,IF(H26&gt;=5000,4,2))))</f>
        <v>6</v>
      </c>
      <c r="Q26" s="8" t="n">
        <f aca="false">IF(J26&lt;=30,15,IF(J26&lt;=60,13,IF(J26&lt;=90,11,IF(J26&lt;=120,9,IF(J26&lt;=180,6,3)))))</f>
        <v>11</v>
      </c>
      <c r="R26" s="9" t="n">
        <f aca="false">IF(K26=0,0,L26+M26+N26+O26+P26+Q26)</f>
        <v>0</v>
      </c>
      <c r="S26" s="8" t="str">
        <f aca="false">IF(K26=0,"Need Hex Data",IF(R26&gt;=75,"Tier 1",IF(R26&gt;=55,"Tier 2",IF(R26&gt;=35,"Tier 3","Below Threshold"))))</f>
        <v>Need Hex Data</v>
      </c>
    </row>
    <row r="27" customFormat="false" ht="15" hidden="false" customHeight="false" outlineLevel="0" collapsed="false">
      <c r="A27" s="4" t="s">
        <v>68</v>
      </c>
      <c r="B27" s="4" t="s">
        <v>33</v>
      </c>
      <c r="C27" s="4" t="s">
        <v>43</v>
      </c>
      <c r="D27" s="4" t="n">
        <v>30</v>
      </c>
      <c r="E27" s="4" t="n">
        <v>28</v>
      </c>
      <c r="F27" s="5" t="n">
        <f aca="false">IF(D27&gt;0,E27/D27,0)</f>
        <v>0.933333333333333</v>
      </c>
      <c r="G27" s="4" t="n">
        <v>17</v>
      </c>
      <c r="H27" s="6" t="n">
        <v>6462</v>
      </c>
      <c r="I27" s="4" t="s">
        <v>67</v>
      </c>
      <c r="J27" s="4" t="n">
        <v>74</v>
      </c>
      <c r="K27" s="7" t="n">
        <v>0</v>
      </c>
      <c r="L27" s="8" t="n">
        <f aca="false">IF(B27="Named User",7,IF(B27="Named User (Chargeback)",4,3))</f>
        <v>7</v>
      </c>
      <c r="M27" s="8" t="n">
        <f aca="false">IF(C27="Extra Green",25,IF(C27="Green",20,IF(C27="Yellow",8,IF(C27="Red",3,0))))</f>
        <v>8</v>
      </c>
      <c r="N27" s="8" t="n">
        <f aca="false">IF(F27&gt;=1,18,IF(F27&gt;=0.95,16,IF(F27&gt;=0.9,14,IF(F27&gt;=0.8,10,IF(F27&gt;=0.7,6,2)))))</f>
        <v>14</v>
      </c>
      <c r="O27" s="8" t="n">
        <f aca="false">IF(K27=0,0,IF(K27&gt;=50,25,IF(K27&gt;=30,22,IF(K27&gt;=20,18,IF(K27&gt;=10,14,IF(K27&gt;=5,10,5))))))</f>
        <v>0</v>
      </c>
      <c r="P27" s="8" t="n">
        <f aca="false">IF(H27&gt;=25000,10,IF(H27&gt;=15000,8,IF(H27&gt;=10000,6,IF(H27&gt;=5000,4,2))))</f>
        <v>4</v>
      </c>
      <c r="Q27" s="8" t="n">
        <f aca="false">IF(J27&lt;=30,15,IF(J27&lt;=60,13,IF(J27&lt;=90,11,IF(J27&lt;=120,9,IF(J27&lt;=180,6,3)))))</f>
        <v>11</v>
      </c>
      <c r="R27" s="9" t="n">
        <f aca="false">IF(K27=0,0,L27+M27+N27+O27+P27+Q27)</f>
        <v>0</v>
      </c>
      <c r="S27" s="8" t="str">
        <f aca="false">IF(K27=0,"Need Hex Data",IF(R27&gt;=75,"Tier 1",IF(R27&gt;=55,"Tier 2",IF(R27&gt;=35,"Tier 3","Below Threshold"))))</f>
        <v>Need Hex Data</v>
      </c>
    </row>
    <row r="28" customFormat="false" ht="15" hidden="false" customHeight="false" outlineLevel="0" collapsed="false">
      <c r="A28" s="4" t="s">
        <v>69</v>
      </c>
      <c r="B28" s="4" t="s">
        <v>33</v>
      </c>
      <c r="C28" s="4" t="s">
        <v>43</v>
      </c>
      <c r="D28" s="4" t="n">
        <v>36</v>
      </c>
      <c r="E28" s="4" t="n">
        <v>33</v>
      </c>
      <c r="F28" s="5" t="n">
        <f aca="false">IF(D28&gt;0,E28/D28,0)</f>
        <v>0.916666666666667</v>
      </c>
      <c r="G28" s="4" t="n">
        <v>25</v>
      </c>
      <c r="H28" s="6" t="n">
        <v>7539</v>
      </c>
      <c r="I28" s="4" t="s">
        <v>70</v>
      </c>
      <c r="J28" s="4" t="n">
        <v>83</v>
      </c>
      <c r="K28" s="7" t="n">
        <v>0</v>
      </c>
      <c r="L28" s="8" t="n">
        <f aca="false">IF(B28="Named User",7,IF(B28="Named User (Chargeback)",4,3))</f>
        <v>7</v>
      </c>
      <c r="M28" s="8" t="n">
        <f aca="false">IF(C28="Extra Green",25,IF(C28="Green",20,IF(C28="Yellow",8,IF(C28="Red",3,0))))</f>
        <v>8</v>
      </c>
      <c r="N28" s="8" t="n">
        <f aca="false">IF(F28&gt;=1,18,IF(F28&gt;=0.95,16,IF(F28&gt;=0.9,14,IF(F28&gt;=0.8,10,IF(F28&gt;=0.7,6,2)))))</f>
        <v>14</v>
      </c>
      <c r="O28" s="8" t="n">
        <f aca="false">IF(K28=0,0,IF(K28&gt;=50,25,IF(K28&gt;=30,22,IF(K28&gt;=20,18,IF(K28&gt;=10,14,IF(K28&gt;=5,10,5))))))</f>
        <v>0</v>
      </c>
      <c r="P28" s="8" t="n">
        <f aca="false">IF(H28&gt;=25000,10,IF(H28&gt;=15000,8,IF(H28&gt;=10000,6,IF(H28&gt;=5000,4,2))))</f>
        <v>4</v>
      </c>
      <c r="Q28" s="8" t="n">
        <f aca="false">IF(J28&lt;=30,15,IF(J28&lt;=60,13,IF(J28&lt;=90,11,IF(J28&lt;=120,9,IF(J28&lt;=180,6,3)))))</f>
        <v>11</v>
      </c>
      <c r="R28" s="9" t="n">
        <f aca="false">IF(K28=0,0,L28+M28+N28+O28+P28+Q28)</f>
        <v>0</v>
      </c>
      <c r="S28" s="8" t="str">
        <f aca="false">IF(K28=0,"Need Hex Data",IF(R28&gt;=75,"Tier 1",IF(R28&gt;=55,"Tier 2",IF(R28&gt;=35,"Tier 3","Below Threshold"))))</f>
        <v>Need Hex Data</v>
      </c>
    </row>
    <row r="29" customFormat="false" ht="15" hidden="false" customHeight="false" outlineLevel="0" collapsed="false">
      <c r="A29" s="4" t="s">
        <v>71</v>
      </c>
      <c r="B29" s="4" t="s">
        <v>33</v>
      </c>
      <c r="C29" s="4" t="s">
        <v>23</v>
      </c>
      <c r="D29" s="4" t="n">
        <v>20</v>
      </c>
      <c r="E29" s="4" t="n">
        <v>18</v>
      </c>
      <c r="F29" s="5" t="n">
        <f aca="false">IF(D29&gt;0,E29/D29,0)</f>
        <v>0.9</v>
      </c>
      <c r="G29" s="4" t="n">
        <v>9</v>
      </c>
      <c r="H29" s="6" t="n">
        <v>4308</v>
      </c>
      <c r="I29" s="4" t="s">
        <v>72</v>
      </c>
      <c r="J29" s="4" t="n">
        <v>93</v>
      </c>
      <c r="K29" s="7" t="n">
        <v>0</v>
      </c>
      <c r="L29" s="8" t="n">
        <f aca="false">IF(B29="Named User",7,IF(B29="Named User (Chargeback)",4,3))</f>
        <v>7</v>
      </c>
      <c r="M29" s="8" t="n">
        <f aca="false">IF(C29="Extra Green",25,IF(C29="Green",20,IF(C29="Yellow",8,IF(C29="Red",3,0))))</f>
        <v>3</v>
      </c>
      <c r="N29" s="8" t="n">
        <f aca="false">IF(F29&gt;=1,18,IF(F29&gt;=0.95,16,IF(F29&gt;=0.9,14,IF(F29&gt;=0.8,10,IF(F29&gt;=0.7,6,2)))))</f>
        <v>14</v>
      </c>
      <c r="O29" s="8" t="n">
        <f aca="false">IF(K29=0,0,IF(K29&gt;=50,25,IF(K29&gt;=30,22,IF(K29&gt;=20,18,IF(K29&gt;=10,14,IF(K29&gt;=5,10,5))))))</f>
        <v>0</v>
      </c>
      <c r="P29" s="8" t="n">
        <f aca="false">IF(H29&gt;=25000,10,IF(H29&gt;=15000,8,IF(H29&gt;=10000,6,IF(H29&gt;=5000,4,2))))</f>
        <v>2</v>
      </c>
      <c r="Q29" s="8" t="n">
        <f aca="false">IF(J29&lt;=30,15,IF(J29&lt;=60,13,IF(J29&lt;=90,11,IF(J29&lt;=120,9,IF(J29&lt;=180,6,3)))))</f>
        <v>9</v>
      </c>
      <c r="R29" s="9" t="n">
        <f aca="false">IF(K29=0,0,L29+M29+N29+O29+P29+Q29)</f>
        <v>0</v>
      </c>
      <c r="S29" s="8" t="str">
        <f aca="false">IF(K29=0,"Need Hex Data",IF(R29&gt;=75,"Tier 1",IF(R29&gt;=55,"Tier 2",IF(R29&gt;=35,"Tier 3","Below Threshold"))))</f>
        <v>Need Hex Data</v>
      </c>
    </row>
    <row r="30" customFormat="false" ht="15" hidden="false" customHeight="false" outlineLevel="0" collapsed="false">
      <c r="A30" s="4" t="s">
        <v>73</v>
      </c>
      <c r="B30" s="4" t="s">
        <v>30</v>
      </c>
      <c r="C30" s="4" t="s">
        <v>23</v>
      </c>
      <c r="D30" s="4" t="n">
        <v>30</v>
      </c>
      <c r="E30" s="4" t="n">
        <v>25</v>
      </c>
      <c r="F30" s="5" t="n">
        <f aca="false">IF(D30&gt;0,E30/D30,0)</f>
        <v>0.833333333333333</v>
      </c>
      <c r="G30" s="4" t="n">
        <v>18</v>
      </c>
      <c r="H30" s="6" t="n">
        <v>6462</v>
      </c>
      <c r="I30" s="4" t="s">
        <v>72</v>
      </c>
      <c r="J30" s="4" t="n">
        <v>93</v>
      </c>
      <c r="K30" s="7" t="n">
        <v>0</v>
      </c>
      <c r="L30" s="8" t="n">
        <f aca="false">IF(B30="Named User",7,IF(B30="Named User (Chargeback)",4,3))</f>
        <v>4</v>
      </c>
      <c r="M30" s="8" t="n">
        <f aca="false">IF(C30="Extra Green",25,IF(C30="Green",20,IF(C30="Yellow",8,IF(C30="Red",3,0))))</f>
        <v>3</v>
      </c>
      <c r="N30" s="8" t="n">
        <f aca="false">IF(F30&gt;=1,18,IF(F30&gt;=0.95,16,IF(F30&gt;=0.9,14,IF(F30&gt;=0.8,10,IF(F30&gt;=0.7,6,2)))))</f>
        <v>10</v>
      </c>
      <c r="O30" s="8" t="n">
        <f aca="false">IF(K30=0,0,IF(K30&gt;=50,25,IF(K30&gt;=30,22,IF(K30&gt;=20,18,IF(K30&gt;=10,14,IF(K30&gt;=5,10,5))))))</f>
        <v>0</v>
      </c>
      <c r="P30" s="8" t="n">
        <f aca="false">IF(H30&gt;=25000,10,IF(H30&gt;=15000,8,IF(H30&gt;=10000,6,IF(H30&gt;=5000,4,2))))</f>
        <v>4</v>
      </c>
      <c r="Q30" s="8" t="n">
        <f aca="false">IF(J30&lt;=30,15,IF(J30&lt;=60,13,IF(J30&lt;=90,11,IF(J30&lt;=120,9,IF(J30&lt;=180,6,3)))))</f>
        <v>9</v>
      </c>
      <c r="R30" s="9" t="n">
        <f aca="false">IF(K30=0,0,L30+M30+N30+O30+P30+Q30)</f>
        <v>0</v>
      </c>
      <c r="S30" s="8" t="str">
        <f aca="false">IF(K30=0,"Need Hex Data",IF(R30&gt;=75,"Tier 1",IF(R30&gt;=55,"Tier 2",IF(R30&gt;=35,"Tier 3","Below Threshold"))))</f>
        <v>Need Hex Data</v>
      </c>
    </row>
    <row r="31" customFormat="false" ht="15" hidden="false" customHeight="false" outlineLevel="0" collapsed="false">
      <c r="A31" s="4" t="s">
        <v>69</v>
      </c>
      <c r="B31" s="4" t="s">
        <v>22</v>
      </c>
      <c r="C31" s="4" t="s">
        <v>23</v>
      </c>
      <c r="D31" s="4" t="n">
        <v>30</v>
      </c>
      <c r="E31" s="4" t="n">
        <v>24</v>
      </c>
      <c r="F31" s="5" t="n">
        <f aca="false">IF(D31&gt;0,E31/D31,0)</f>
        <v>0.8</v>
      </c>
      <c r="G31" s="4" t="n">
        <v>19</v>
      </c>
      <c r="H31" s="6" t="n">
        <v>5385</v>
      </c>
      <c r="I31" s="4" t="s">
        <v>72</v>
      </c>
      <c r="J31" s="4" t="n">
        <v>93</v>
      </c>
      <c r="K31" s="7" t="n">
        <v>0</v>
      </c>
      <c r="L31" s="8" t="n">
        <f aca="false">IF(B31="Named User",7,IF(B31="Named User (Chargeback)",4,3))</f>
        <v>3</v>
      </c>
      <c r="M31" s="8" t="n">
        <f aca="false">IF(C31="Extra Green",25,IF(C31="Green",20,IF(C31="Yellow",8,IF(C31="Red",3,0))))</f>
        <v>3</v>
      </c>
      <c r="N31" s="8" t="n">
        <f aca="false">IF(F31&gt;=1,18,IF(F31&gt;=0.95,16,IF(F31&gt;=0.9,14,IF(F31&gt;=0.8,10,IF(F31&gt;=0.7,6,2)))))</f>
        <v>10</v>
      </c>
      <c r="O31" s="8" t="n">
        <f aca="false">IF(K31=0,0,IF(K31&gt;=50,25,IF(K31&gt;=30,22,IF(K31&gt;=20,18,IF(K31&gt;=10,14,IF(K31&gt;=5,10,5))))))</f>
        <v>0</v>
      </c>
      <c r="P31" s="8" t="n">
        <f aca="false">IF(H31&gt;=25000,10,IF(H31&gt;=15000,8,IF(H31&gt;=10000,6,IF(H31&gt;=5000,4,2))))</f>
        <v>4</v>
      </c>
      <c r="Q31" s="8" t="n">
        <f aca="false">IF(J31&lt;=30,15,IF(J31&lt;=60,13,IF(J31&lt;=90,11,IF(J31&lt;=120,9,IF(J31&lt;=180,6,3)))))</f>
        <v>9</v>
      </c>
      <c r="R31" s="9" t="n">
        <f aca="false">IF(K31=0,0,L31+M31+N31+O31+P31+Q31)</f>
        <v>0</v>
      </c>
      <c r="S31" s="8" t="str">
        <f aca="false">IF(K31=0,"Need Hex Data",IF(R31&gt;=75,"Tier 1",IF(R31&gt;=55,"Tier 2",IF(R31&gt;=35,"Tier 3","Below Threshold"))))</f>
        <v>Need Hex Data</v>
      </c>
    </row>
    <row r="32" customFormat="false" ht="15" hidden="false" customHeight="false" outlineLevel="0" collapsed="false">
      <c r="A32" s="4" t="s">
        <v>74</v>
      </c>
      <c r="B32" s="4" t="s">
        <v>30</v>
      </c>
      <c r="C32" s="4" t="s">
        <v>23</v>
      </c>
      <c r="D32" s="4" t="n">
        <v>20</v>
      </c>
      <c r="E32" s="4" t="n">
        <v>15</v>
      </c>
      <c r="F32" s="5" t="n">
        <f aca="false">IF(D32&gt;0,E32/D32,0)</f>
        <v>0.75</v>
      </c>
      <c r="G32" s="4" t="n">
        <v>12</v>
      </c>
      <c r="H32" s="6" t="n">
        <v>4308</v>
      </c>
      <c r="I32" s="4" t="s">
        <v>72</v>
      </c>
      <c r="J32" s="4" t="n">
        <v>93</v>
      </c>
      <c r="K32" s="7" t="n">
        <v>0</v>
      </c>
      <c r="L32" s="8" t="n">
        <f aca="false">IF(B32="Named User",7,IF(B32="Named User (Chargeback)",4,3))</f>
        <v>4</v>
      </c>
      <c r="M32" s="8" t="n">
        <f aca="false">IF(C32="Extra Green",25,IF(C32="Green",20,IF(C32="Yellow",8,IF(C32="Red",3,0))))</f>
        <v>3</v>
      </c>
      <c r="N32" s="8" t="n">
        <f aca="false">IF(F32&gt;=1,18,IF(F32&gt;=0.95,16,IF(F32&gt;=0.9,14,IF(F32&gt;=0.8,10,IF(F32&gt;=0.7,6,2)))))</f>
        <v>6</v>
      </c>
      <c r="O32" s="8" t="n">
        <f aca="false">IF(K32=0,0,IF(K32&gt;=50,25,IF(K32&gt;=30,22,IF(K32&gt;=20,18,IF(K32&gt;=10,14,IF(K32&gt;=5,10,5))))))</f>
        <v>0</v>
      </c>
      <c r="P32" s="8" t="n">
        <f aca="false">IF(H32&gt;=25000,10,IF(H32&gt;=15000,8,IF(H32&gt;=10000,6,IF(H32&gt;=5000,4,2))))</f>
        <v>2</v>
      </c>
      <c r="Q32" s="8" t="n">
        <f aca="false">IF(J32&lt;=30,15,IF(J32&lt;=60,13,IF(J32&lt;=90,11,IF(J32&lt;=120,9,IF(J32&lt;=180,6,3)))))</f>
        <v>9</v>
      </c>
      <c r="R32" s="9" t="n">
        <f aca="false">IF(K32=0,0,L32+M32+N32+O32+P32+Q32)</f>
        <v>0</v>
      </c>
      <c r="S32" s="8" t="str">
        <f aca="false">IF(K32=0,"Need Hex Data",IF(R32&gt;=75,"Tier 1",IF(R32&gt;=55,"Tier 2",IF(R32&gt;=35,"Tier 3","Below Threshold"))))</f>
        <v>Need Hex Data</v>
      </c>
    </row>
    <row r="33" customFormat="false" ht="15" hidden="false" customHeight="false" outlineLevel="0" collapsed="false">
      <c r="A33" s="4" t="s">
        <v>75</v>
      </c>
      <c r="B33" s="4" t="s">
        <v>33</v>
      </c>
      <c r="C33" s="4" t="s">
        <v>23</v>
      </c>
      <c r="D33" s="4" t="n">
        <v>51</v>
      </c>
      <c r="E33" s="4" t="n">
        <v>51</v>
      </c>
      <c r="F33" s="5" t="n">
        <f aca="false">IF(D33&gt;0,E33/D33,0)</f>
        <v>1</v>
      </c>
      <c r="G33" s="4" t="n">
        <v>24</v>
      </c>
      <c r="H33" s="6" t="n">
        <v>10770</v>
      </c>
      <c r="I33" s="4" t="s">
        <v>76</v>
      </c>
      <c r="J33" s="4" t="n">
        <v>94</v>
      </c>
      <c r="K33" s="7" t="n">
        <v>0</v>
      </c>
      <c r="L33" s="8" t="n">
        <f aca="false">IF(B33="Named User",7,IF(B33="Named User (Chargeback)",4,3))</f>
        <v>7</v>
      </c>
      <c r="M33" s="8" t="n">
        <f aca="false">IF(C33="Extra Green",25,IF(C33="Green",20,IF(C33="Yellow",8,IF(C33="Red",3,0))))</f>
        <v>3</v>
      </c>
      <c r="N33" s="8" t="n">
        <f aca="false">IF(F33&gt;=1,18,IF(F33&gt;=0.95,16,IF(F33&gt;=0.9,14,IF(F33&gt;=0.8,10,IF(F33&gt;=0.7,6,2)))))</f>
        <v>18</v>
      </c>
      <c r="O33" s="8" t="n">
        <f aca="false">IF(K33=0,0,IF(K33&gt;=50,25,IF(K33&gt;=30,22,IF(K33&gt;=20,18,IF(K33&gt;=10,14,IF(K33&gt;=5,10,5))))))</f>
        <v>0</v>
      </c>
      <c r="P33" s="8" t="n">
        <f aca="false">IF(H33&gt;=25000,10,IF(H33&gt;=15000,8,IF(H33&gt;=10000,6,IF(H33&gt;=5000,4,2))))</f>
        <v>6</v>
      </c>
      <c r="Q33" s="8" t="n">
        <f aca="false">IF(J33&lt;=30,15,IF(J33&lt;=60,13,IF(J33&lt;=90,11,IF(J33&lt;=120,9,IF(J33&lt;=180,6,3)))))</f>
        <v>9</v>
      </c>
      <c r="R33" s="9" t="n">
        <f aca="false">IF(K33=0,0,L33+M33+N33+O33+P33+Q33)</f>
        <v>0</v>
      </c>
      <c r="S33" s="8" t="str">
        <f aca="false">IF(K33=0,"Need Hex Data",IF(R33&gt;=75,"Tier 1",IF(R33&gt;=55,"Tier 2",IF(R33&gt;=35,"Tier 3","Below Threshold"))))</f>
        <v>Need Hex Data</v>
      </c>
    </row>
    <row r="34" customFormat="false" ht="15" hidden="false" customHeight="false" outlineLevel="0" collapsed="false">
      <c r="A34" s="4" t="s">
        <v>77</v>
      </c>
      <c r="B34" s="4" t="s">
        <v>22</v>
      </c>
      <c r="C34" s="4" t="s">
        <v>23</v>
      </c>
      <c r="D34" s="4" t="n">
        <v>25</v>
      </c>
      <c r="E34" s="4" t="n">
        <v>23</v>
      </c>
      <c r="F34" s="5" t="n">
        <f aca="false">IF(D34&gt;0,E34/D34,0)</f>
        <v>0.92</v>
      </c>
      <c r="G34" s="4" t="n">
        <v>10</v>
      </c>
      <c r="H34" s="6" t="n">
        <v>4308</v>
      </c>
      <c r="I34" s="4" t="s">
        <v>78</v>
      </c>
      <c r="J34" s="4" t="n">
        <v>98</v>
      </c>
      <c r="K34" s="7" t="n">
        <v>0</v>
      </c>
      <c r="L34" s="8" t="n">
        <f aca="false">IF(B34="Named User",7,IF(B34="Named User (Chargeback)",4,3))</f>
        <v>3</v>
      </c>
      <c r="M34" s="8" t="n">
        <f aca="false">IF(C34="Extra Green",25,IF(C34="Green",20,IF(C34="Yellow",8,IF(C34="Red",3,0))))</f>
        <v>3</v>
      </c>
      <c r="N34" s="8" t="n">
        <f aca="false">IF(F34&gt;=1,18,IF(F34&gt;=0.95,16,IF(F34&gt;=0.9,14,IF(F34&gt;=0.8,10,IF(F34&gt;=0.7,6,2)))))</f>
        <v>14</v>
      </c>
      <c r="O34" s="8" t="n">
        <f aca="false">IF(K34=0,0,IF(K34&gt;=50,25,IF(K34&gt;=30,22,IF(K34&gt;=20,18,IF(K34&gt;=10,14,IF(K34&gt;=5,10,5))))))</f>
        <v>0</v>
      </c>
      <c r="P34" s="8" t="n">
        <f aca="false">IF(H34&gt;=25000,10,IF(H34&gt;=15000,8,IF(H34&gt;=10000,6,IF(H34&gt;=5000,4,2))))</f>
        <v>2</v>
      </c>
      <c r="Q34" s="8" t="n">
        <f aca="false">IF(J34&lt;=30,15,IF(J34&lt;=60,13,IF(J34&lt;=90,11,IF(J34&lt;=120,9,IF(J34&lt;=180,6,3)))))</f>
        <v>9</v>
      </c>
      <c r="R34" s="9" t="n">
        <f aca="false">IF(K34=0,0,L34+M34+N34+O34+P34+Q34)</f>
        <v>0</v>
      </c>
      <c r="S34" s="8" t="str">
        <f aca="false">IF(K34=0,"Need Hex Data",IF(R34&gt;=75,"Tier 1",IF(R34&gt;=55,"Tier 2",IF(R34&gt;=35,"Tier 3","Below Threshold"))))</f>
        <v>Need Hex Data</v>
      </c>
    </row>
    <row r="35" customFormat="false" ht="15" hidden="false" customHeight="false" outlineLevel="0" collapsed="false">
      <c r="A35" s="4" t="s">
        <v>79</v>
      </c>
      <c r="B35" s="4" t="s">
        <v>33</v>
      </c>
      <c r="C35" s="4" t="s">
        <v>23</v>
      </c>
      <c r="D35" s="4" t="n">
        <v>50</v>
      </c>
      <c r="E35" s="4" t="n">
        <v>48</v>
      </c>
      <c r="F35" s="5" t="n">
        <f aca="false">IF(D35&gt;0,E35/D35,0)</f>
        <v>0.96</v>
      </c>
      <c r="G35" s="4" t="n">
        <v>15</v>
      </c>
      <c r="H35" s="6" t="n">
        <v>10770</v>
      </c>
      <c r="I35" s="4" t="s">
        <v>80</v>
      </c>
      <c r="J35" s="4" t="n">
        <v>103</v>
      </c>
      <c r="K35" s="7" t="n">
        <v>0</v>
      </c>
      <c r="L35" s="8" t="n">
        <f aca="false">IF(B35="Named User",7,IF(B35="Named User (Chargeback)",4,3))</f>
        <v>7</v>
      </c>
      <c r="M35" s="8" t="n">
        <f aca="false">IF(C35="Extra Green",25,IF(C35="Green",20,IF(C35="Yellow",8,IF(C35="Red",3,0))))</f>
        <v>3</v>
      </c>
      <c r="N35" s="8" t="n">
        <f aca="false">IF(F35&gt;=1,18,IF(F35&gt;=0.95,16,IF(F35&gt;=0.9,14,IF(F35&gt;=0.8,10,IF(F35&gt;=0.7,6,2)))))</f>
        <v>16</v>
      </c>
      <c r="O35" s="8" t="n">
        <f aca="false">IF(K35=0,0,IF(K35&gt;=50,25,IF(K35&gt;=30,22,IF(K35&gt;=20,18,IF(K35&gt;=10,14,IF(K35&gt;=5,10,5))))))</f>
        <v>0</v>
      </c>
      <c r="P35" s="8" t="n">
        <f aca="false">IF(H35&gt;=25000,10,IF(H35&gt;=15000,8,IF(H35&gt;=10000,6,IF(H35&gt;=5000,4,2))))</f>
        <v>6</v>
      </c>
      <c r="Q35" s="8" t="n">
        <f aca="false">IF(J35&lt;=30,15,IF(J35&lt;=60,13,IF(J35&lt;=90,11,IF(J35&lt;=120,9,IF(J35&lt;=180,6,3)))))</f>
        <v>9</v>
      </c>
      <c r="R35" s="9" t="n">
        <f aca="false">IF(K35=0,0,L35+M35+N35+O35+P35+Q35)</f>
        <v>0</v>
      </c>
      <c r="S35" s="8" t="str">
        <f aca="false">IF(K35=0,"Need Hex Data",IF(R35&gt;=75,"Tier 1",IF(R35&gt;=55,"Tier 2",IF(R35&gt;=35,"Tier 3","Below Threshold"))))</f>
        <v>Need Hex Data</v>
      </c>
    </row>
    <row r="36" customFormat="false" ht="15" hidden="false" customHeight="false" outlineLevel="0" collapsed="false">
      <c r="A36" s="4" t="s">
        <v>81</v>
      </c>
      <c r="B36" s="4" t="s">
        <v>33</v>
      </c>
      <c r="C36" s="4" t="s">
        <v>43</v>
      </c>
      <c r="D36" s="4" t="n">
        <v>20</v>
      </c>
      <c r="E36" s="4" t="n">
        <v>16</v>
      </c>
      <c r="F36" s="5" t="n">
        <f aca="false">IF(D36&gt;0,E36/D36,0)</f>
        <v>0.8</v>
      </c>
      <c r="G36" s="4" t="n">
        <v>13</v>
      </c>
      <c r="H36" s="6" t="n">
        <v>4308</v>
      </c>
      <c r="I36" s="4" t="s">
        <v>82</v>
      </c>
      <c r="J36" s="4" t="n">
        <v>107</v>
      </c>
      <c r="K36" s="7" t="n">
        <v>0</v>
      </c>
      <c r="L36" s="8" t="n">
        <f aca="false">IF(B36="Named User",7,IF(B36="Named User (Chargeback)",4,3))</f>
        <v>7</v>
      </c>
      <c r="M36" s="8" t="n">
        <f aca="false">IF(C36="Extra Green",25,IF(C36="Green",20,IF(C36="Yellow",8,IF(C36="Red",3,0))))</f>
        <v>8</v>
      </c>
      <c r="N36" s="8" t="n">
        <f aca="false">IF(F36&gt;=1,18,IF(F36&gt;=0.95,16,IF(F36&gt;=0.9,14,IF(F36&gt;=0.8,10,IF(F36&gt;=0.7,6,2)))))</f>
        <v>10</v>
      </c>
      <c r="O36" s="8" t="n">
        <f aca="false">IF(K36=0,0,IF(K36&gt;=50,25,IF(K36&gt;=30,22,IF(K36&gt;=20,18,IF(K36&gt;=10,14,IF(K36&gt;=5,10,5))))))</f>
        <v>0</v>
      </c>
      <c r="P36" s="8" t="n">
        <f aca="false">IF(H36&gt;=25000,10,IF(H36&gt;=15000,8,IF(H36&gt;=10000,6,IF(H36&gt;=5000,4,2))))</f>
        <v>2</v>
      </c>
      <c r="Q36" s="8" t="n">
        <f aca="false">IF(J36&lt;=30,15,IF(J36&lt;=60,13,IF(J36&lt;=90,11,IF(J36&lt;=120,9,IF(J36&lt;=180,6,3)))))</f>
        <v>9</v>
      </c>
      <c r="R36" s="9" t="n">
        <f aca="false">IF(K36=0,0,L36+M36+N36+O36+P36+Q36)</f>
        <v>0</v>
      </c>
      <c r="S36" s="8" t="str">
        <f aca="false">IF(K36=0,"Need Hex Data",IF(R36&gt;=75,"Tier 1",IF(R36&gt;=55,"Tier 2",IF(R36&gt;=35,"Tier 3","Below Threshold"))))</f>
        <v>Need Hex Data</v>
      </c>
    </row>
    <row r="37" customFormat="false" ht="15" hidden="false" customHeight="false" outlineLevel="0" collapsed="false">
      <c r="A37" s="4" t="s">
        <v>83</v>
      </c>
      <c r="B37" s="4" t="s">
        <v>33</v>
      </c>
      <c r="C37" s="4" t="s">
        <v>23</v>
      </c>
      <c r="D37" s="4" t="n">
        <v>20</v>
      </c>
      <c r="E37" s="4" t="n">
        <v>19</v>
      </c>
      <c r="F37" s="5" t="n">
        <f aca="false">IF(D37&gt;0,E37/D37,0)</f>
        <v>0.95</v>
      </c>
      <c r="G37" s="4" t="n">
        <v>7</v>
      </c>
      <c r="H37" s="6" t="n">
        <v>4308</v>
      </c>
      <c r="I37" s="4" t="s">
        <v>82</v>
      </c>
      <c r="J37" s="4" t="n">
        <v>107</v>
      </c>
      <c r="K37" s="7" t="n">
        <v>0</v>
      </c>
      <c r="L37" s="8" t="n">
        <f aca="false">IF(B37="Named User",7,IF(B37="Named User (Chargeback)",4,3))</f>
        <v>7</v>
      </c>
      <c r="M37" s="8" t="n">
        <f aca="false">IF(C37="Extra Green",25,IF(C37="Green",20,IF(C37="Yellow",8,IF(C37="Red",3,0))))</f>
        <v>3</v>
      </c>
      <c r="N37" s="8" t="n">
        <f aca="false">IF(F37&gt;=1,18,IF(F37&gt;=0.95,16,IF(F37&gt;=0.9,14,IF(F37&gt;=0.8,10,IF(F37&gt;=0.7,6,2)))))</f>
        <v>16</v>
      </c>
      <c r="O37" s="8" t="n">
        <f aca="false">IF(K37=0,0,IF(K37&gt;=50,25,IF(K37&gt;=30,22,IF(K37&gt;=20,18,IF(K37&gt;=10,14,IF(K37&gt;=5,10,5))))))</f>
        <v>0</v>
      </c>
      <c r="P37" s="8" t="n">
        <f aca="false">IF(H37&gt;=25000,10,IF(H37&gt;=15000,8,IF(H37&gt;=10000,6,IF(H37&gt;=5000,4,2))))</f>
        <v>2</v>
      </c>
      <c r="Q37" s="8" t="n">
        <f aca="false">IF(J37&lt;=30,15,IF(J37&lt;=60,13,IF(J37&lt;=90,11,IF(J37&lt;=120,9,IF(J37&lt;=180,6,3)))))</f>
        <v>9</v>
      </c>
      <c r="R37" s="9" t="n">
        <f aca="false">IF(K37=0,0,L37+M37+N37+O37+P37+Q37)</f>
        <v>0</v>
      </c>
      <c r="S37" s="8" t="str">
        <f aca="false">IF(K37=0,"Need Hex Data",IF(R37&gt;=75,"Tier 1",IF(R37&gt;=55,"Tier 2",IF(R37&gt;=35,"Tier 3","Below Threshold"))))</f>
        <v>Need Hex Data</v>
      </c>
    </row>
    <row r="38" customFormat="false" ht="15" hidden="false" customHeight="false" outlineLevel="0" collapsed="false">
      <c r="A38" s="4" t="s">
        <v>84</v>
      </c>
      <c r="B38" s="4" t="s">
        <v>33</v>
      </c>
      <c r="C38" s="4" t="s">
        <v>23</v>
      </c>
      <c r="D38" s="4" t="n">
        <v>60</v>
      </c>
      <c r="E38" s="4" t="n">
        <v>50</v>
      </c>
      <c r="F38" s="5" t="n">
        <f aca="false">IF(D38&gt;0,E38/D38,0)</f>
        <v>0.833333333333333</v>
      </c>
      <c r="G38" s="4" t="n">
        <v>24</v>
      </c>
      <c r="H38" s="6" t="n">
        <v>12924</v>
      </c>
      <c r="I38" s="4" t="s">
        <v>85</v>
      </c>
      <c r="J38" s="4" t="n">
        <v>126</v>
      </c>
      <c r="K38" s="7" t="n">
        <v>0</v>
      </c>
      <c r="L38" s="8" t="n">
        <f aca="false">IF(B38="Named User",7,IF(B38="Named User (Chargeback)",4,3))</f>
        <v>7</v>
      </c>
      <c r="M38" s="8" t="n">
        <f aca="false">IF(C38="Extra Green",25,IF(C38="Green",20,IF(C38="Yellow",8,IF(C38="Red",3,0))))</f>
        <v>3</v>
      </c>
      <c r="N38" s="8" t="n">
        <f aca="false">IF(F38&gt;=1,18,IF(F38&gt;=0.95,16,IF(F38&gt;=0.9,14,IF(F38&gt;=0.8,10,IF(F38&gt;=0.7,6,2)))))</f>
        <v>10</v>
      </c>
      <c r="O38" s="8" t="n">
        <f aca="false">IF(K38=0,0,IF(K38&gt;=50,25,IF(K38&gt;=30,22,IF(K38&gt;=20,18,IF(K38&gt;=10,14,IF(K38&gt;=5,10,5))))))</f>
        <v>0</v>
      </c>
      <c r="P38" s="8" t="n">
        <f aca="false">IF(H38&gt;=25000,10,IF(H38&gt;=15000,8,IF(H38&gt;=10000,6,IF(H38&gt;=5000,4,2))))</f>
        <v>6</v>
      </c>
      <c r="Q38" s="8" t="n">
        <f aca="false">IF(J38&lt;=30,15,IF(J38&lt;=60,13,IF(J38&lt;=90,11,IF(J38&lt;=120,9,IF(J38&lt;=180,6,3)))))</f>
        <v>6</v>
      </c>
      <c r="R38" s="9" t="n">
        <f aca="false">IF(K38=0,0,L38+M38+N38+O38+P38+Q38)</f>
        <v>0</v>
      </c>
      <c r="S38" s="8" t="str">
        <f aca="false">IF(K38=0,"Need Hex Data",IF(R38&gt;=75,"Tier 1",IF(R38&gt;=55,"Tier 2",IF(R38&gt;=35,"Tier 3","Below Threshold"))))</f>
        <v>Need Hex Data</v>
      </c>
    </row>
    <row r="39" customFormat="false" ht="15" hidden="false" customHeight="false" outlineLevel="0" collapsed="false">
      <c r="A39" s="4" t="s">
        <v>86</v>
      </c>
      <c r="B39" s="4" t="s">
        <v>33</v>
      </c>
      <c r="C39" s="4"/>
      <c r="D39" s="4" t="n">
        <v>0</v>
      </c>
      <c r="E39" s="4" t="n">
        <v>0</v>
      </c>
      <c r="F39" s="5" t="n">
        <f aca="false">IF(D39&gt;0,E39/D39,0)</f>
        <v>0</v>
      </c>
      <c r="G39" s="4" t="n">
        <v>0</v>
      </c>
      <c r="H39" s="6" t="n">
        <v>4308</v>
      </c>
      <c r="I39" s="4" t="s">
        <v>87</v>
      </c>
      <c r="J39" s="4" t="n">
        <v>133</v>
      </c>
      <c r="K39" s="7" t="n">
        <v>0</v>
      </c>
      <c r="L39" s="8" t="n">
        <f aca="false">IF(B39="Named User",7,IF(B39="Named User (Chargeback)",4,3))</f>
        <v>7</v>
      </c>
      <c r="M39" s="8" t="n">
        <f aca="false">IF(C39="Extra Green",25,IF(C39="Green",20,IF(C39="Yellow",8,IF(C39="Red",3,0))))</f>
        <v>0</v>
      </c>
      <c r="N39" s="8" t="n">
        <f aca="false">IF(F39&gt;=1,18,IF(F39&gt;=0.95,16,IF(F39&gt;=0.9,14,IF(F39&gt;=0.8,10,IF(F39&gt;=0.7,6,2)))))</f>
        <v>2</v>
      </c>
      <c r="O39" s="8" t="n">
        <f aca="false">IF(K39=0,0,IF(K39&gt;=50,25,IF(K39&gt;=30,22,IF(K39&gt;=20,18,IF(K39&gt;=10,14,IF(K39&gt;=5,10,5))))))</f>
        <v>0</v>
      </c>
      <c r="P39" s="8" t="n">
        <f aca="false">IF(H39&gt;=25000,10,IF(H39&gt;=15000,8,IF(H39&gt;=10000,6,IF(H39&gt;=5000,4,2))))</f>
        <v>2</v>
      </c>
      <c r="Q39" s="8" t="n">
        <f aca="false">IF(J39&lt;=30,15,IF(J39&lt;=60,13,IF(J39&lt;=90,11,IF(J39&lt;=120,9,IF(J39&lt;=180,6,3)))))</f>
        <v>6</v>
      </c>
      <c r="R39" s="9" t="n">
        <f aca="false">IF(K39=0,0,L39+M39+N39+O39+P39+Q39)</f>
        <v>0</v>
      </c>
      <c r="S39" s="8" t="str">
        <f aca="false">IF(K39=0,"Need Hex Data",IF(R39&gt;=75,"Tier 1",IF(R39&gt;=55,"Tier 2",IF(R39&gt;=35,"Tier 3","Below Threshold"))))</f>
        <v>Need Hex Data</v>
      </c>
    </row>
    <row r="40" customFormat="false" ht="15" hidden="false" customHeight="false" outlineLevel="0" collapsed="false">
      <c r="A40" s="4" t="s">
        <v>88</v>
      </c>
      <c r="B40" s="4" t="s">
        <v>33</v>
      </c>
      <c r="C40" s="4" t="s">
        <v>43</v>
      </c>
      <c r="D40" s="4" t="n">
        <v>25</v>
      </c>
      <c r="E40" s="4" t="n">
        <v>24</v>
      </c>
      <c r="F40" s="5" t="n">
        <f aca="false">IF(D40&gt;0,E40/D40,0)</f>
        <v>0.96</v>
      </c>
      <c r="G40" s="4" t="n">
        <v>16</v>
      </c>
      <c r="H40" s="6" t="n">
        <v>5385</v>
      </c>
      <c r="I40" s="4" t="s">
        <v>87</v>
      </c>
      <c r="J40" s="4" t="n">
        <v>133</v>
      </c>
      <c r="K40" s="7" t="n">
        <v>0</v>
      </c>
      <c r="L40" s="8" t="n">
        <f aca="false">IF(B40="Named User",7,IF(B40="Named User (Chargeback)",4,3))</f>
        <v>7</v>
      </c>
      <c r="M40" s="8" t="n">
        <f aca="false">IF(C40="Extra Green",25,IF(C40="Green",20,IF(C40="Yellow",8,IF(C40="Red",3,0))))</f>
        <v>8</v>
      </c>
      <c r="N40" s="8" t="n">
        <f aca="false">IF(F40&gt;=1,18,IF(F40&gt;=0.95,16,IF(F40&gt;=0.9,14,IF(F40&gt;=0.8,10,IF(F40&gt;=0.7,6,2)))))</f>
        <v>16</v>
      </c>
      <c r="O40" s="8" t="n">
        <f aca="false">IF(K40=0,0,IF(K40&gt;=50,25,IF(K40&gt;=30,22,IF(K40&gt;=20,18,IF(K40&gt;=10,14,IF(K40&gt;=5,10,5))))))</f>
        <v>0</v>
      </c>
      <c r="P40" s="8" t="n">
        <f aca="false">IF(H40&gt;=25000,10,IF(H40&gt;=15000,8,IF(H40&gt;=10000,6,IF(H40&gt;=5000,4,2))))</f>
        <v>4</v>
      </c>
      <c r="Q40" s="8" t="n">
        <f aca="false">IF(J40&lt;=30,15,IF(J40&lt;=60,13,IF(J40&lt;=90,11,IF(J40&lt;=120,9,IF(J40&lt;=180,6,3)))))</f>
        <v>6</v>
      </c>
      <c r="R40" s="9" t="n">
        <f aca="false">IF(K40=0,0,L40+M40+N40+O40+P40+Q40)</f>
        <v>0</v>
      </c>
      <c r="S40" s="8" t="str">
        <f aca="false">IF(K40=0,"Need Hex Data",IF(R40&gt;=75,"Tier 1",IF(R40&gt;=55,"Tier 2",IF(R40&gt;=35,"Tier 3","Below Threshold"))))</f>
        <v>Need Hex Data</v>
      </c>
    </row>
    <row r="41" customFormat="false" ht="15" hidden="false" customHeight="false" outlineLevel="0" collapsed="false">
      <c r="A41" s="4" t="s">
        <v>89</v>
      </c>
      <c r="B41" s="4" t="s">
        <v>33</v>
      </c>
      <c r="C41" s="4" t="s">
        <v>36</v>
      </c>
      <c r="D41" s="4" t="n">
        <v>120</v>
      </c>
      <c r="E41" s="4" t="n">
        <v>117</v>
      </c>
      <c r="F41" s="5" t="n">
        <f aca="false">IF(D41&gt;0,E41/D41,0)</f>
        <v>0.975</v>
      </c>
      <c r="G41" s="4" t="n">
        <v>90</v>
      </c>
      <c r="H41" s="6" t="n">
        <v>24442.6</v>
      </c>
      <c r="I41" s="4" t="s">
        <v>90</v>
      </c>
      <c r="J41" s="4" t="n">
        <v>136</v>
      </c>
      <c r="K41" s="7" t="n">
        <v>0</v>
      </c>
      <c r="L41" s="8" t="n">
        <f aca="false">IF(B41="Named User",7,IF(B41="Named User (Chargeback)",4,3))</f>
        <v>7</v>
      </c>
      <c r="M41" s="8" t="n">
        <f aca="false">IF(C41="Extra Green",25,IF(C41="Green",20,IF(C41="Yellow",8,IF(C41="Red",3,0))))</f>
        <v>20</v>
      </c>
      <c r="N41" s="8" t="n">
        <f aca="false">IF(F41&gt;=1,18,IF(F41&gt;=0.95,16,IF(F41&gt;=0.9,14,IF(F41&gt;=0.8,10,IF(F41&gt;=0.7,6,2)))))</f>
        <v>16</v>
      </c>
      <c r="O41" s="8" t="n">
        <f aca="false">IF(K41=0,0,IF(K41&gt;=50,25,IF(K41&gt;=30,22,IF(K41&gt;=20,18,IF(K41&gt;=10,14,IF(K41&gt;=5,10,5))))))</f>
        <v>0</v>
      </c>
      <c r="P41" s="8" t="n">
        <f aca="false">IF(H41&gt;=25000,10,IF(H41&gt;=15000,8,IF(H41&gt;=10000,6,IF(H41&gt;=5000,4,2))))</f>
        <v>8</v>
      </c>
      <c r="Q41" s="8" t="n">
        <f aca="false">IF(J41&lt;=30,15,IF(J41&lt;=60,13,IF(J41&lt;=90,11,IF(J41&lt;=120,9,IF(J41&lt;=180,6,3)))))</f>
        <v>6</v>
      </c>
      <c r="R41" s="9" t="n">
        <f aca="false">IF(K41=0,0,L41+M41+N41+O41+P41+Q41)</f>
        <v>0</v>
      </c>
      <c r="S41" s="8" t="str">
        <f aca="false">IF(K41=0,"Need Hex Data",IF(R41&gt;=75,"Tier 1",IF(R41&gt;=55,"Tier 2",IF(R41&gt;=35,"Tier 3","Below Threshold"))))</f>
        <v>Need Hex Data</v>
      </c>
    </row>
    <row r="42" customFormat="false" ht="15" hidden="false" customHeight="false" outlineLevel="0" collapsed="false">
      <c r="A42" s="4" t="s">
        <v>91</v>
      </c>
      <c r="B42" s="4" t="s">
        <v>33</v>
      </c>
      <c r="C42" s="4" t="s">
        <v>23</v>
      </c>
      <c r="D42" s="4" t="n">
        <v>20</v>
      </c>
      <c r="E42" s="4" t="n">
        <v>11</v>
      </c>
      <c r="F42" s="5" t="n">
        <f aca="false">IF(D42&gt;0,E42/D42,0)</f>
        <v>0.55</v>
      </c>
      <c r="G42" s="4" t="n">
        <v>3</v>
      </c>
      <c r="H42" s="6" t="n">
        <v>4308</v>
      </c>
      <c r="I42" s="4" t="s">
        <v>92</v>
      </c>
      <c r="J42" s="4" t="n">
        <v>137</v>
      </c>
      <c r="K42" s="7" t="n">
        <v>0</v>
      </c>
      <c r="L42" s="8" t="n">
        <f aca="false">IF(B42="Named User",7,IF(B42="Named User (Chargeback)",4,3))</f>
        <v>7</v>
      </c>
      <c r="M42" s="8" t="n">
        <f aca="false">IF(C42="Extra Green",25,IF(C42="Green",20,IF(C42="Yellow",8,IF(C42="Red",3,0))))</f>
        <v>3</v>
      </c>
      <c r="N42" s="8" t="n">
        <f aca="false">IF(F42&gt;=1,18,IF(F42&gt;=0.95,16,IF(F42&gt;=0.9,14,IF(F42&gt;=0.8,10,IF(F42&gt;=0.7,6,2)))))</f>
        <v>2</v>
      </c>
      <c r="O42" s="8" t="n">
        <f aca="false">IF(K42=0,0,IF(K42&gt;=50,25,IF(K42&gt;=30,22,IF(K42&gt;=20,18,IF(K42&gt;=10,14,IF(K42&gt;=5,10,5))))))</f>
        <v>0</v>
      </c>
      <c r="P42" s="8" t="n">
        <f aca="false">IF(H42&gt;=25000,10,IF(H42&gt;=15000,8,IF(H42&gt;=10000,6,IF(H42&gt;=5000,4,2))))</f>
        <v>2</v>
      </c>
      <c r="Q42" s="8" t="n">
        <f aca="false">IF(J42&lt;=30,15,IF(J42&lt;=60,13,IF(J42&lt;=90,11,IF(J42&lt;=120,9,IF(J42&lt;=180,6,3)))))</f>
        <v>6</v>
      </c>
      <c r="R42" s="9" t="n">
        <f aca="false">IF(K42=0,0,L42+M42+N42+O42+P42+Q42)</f>
        <v>0</v>
      </c>
      <c r="S42" s="8" t="str">
        <f aca="false">IF(K42=0,"Need Hex Data",IF(R42&gt;=75,"Tier 1",IF(R42&gt;=55,"Tier 2",IF(R42&gt;=35,"Tier 3","Below Threshold"))))</f>
        <v>Need Hex Data</v>
      </c>
    </row>
    <row r="43" customFormat="false" ht="15" hidden="false" customHeight="false" outlineLevel="0" collapsed="false">
      <c r="A43" s="4" t="s">
        <v>93</v>
      </c>
      <c r="B43" s="4" t="s">
        <v>33</v>
      </c>
      <c r="C43" s="4" t="s">
        <v>43</v>
      </c>
      <c r="D43" s="4" t="n">
        <v>80</v>
      </c>
      <c r="E43" s="4" t="n">
        <v>59</v>
      </c>
      <c r="F43" s="5" t="n">
        <f aca="false">IF(D43&gt;0,E43/D43,0)</f>
        <v>0.7375</v>
      </c>
      <c r="G43" s="4" t="n">
        <v>47</v>
      </c>
      <c r="H43" s="6" t="n">
        <v>17232</v>
      </c>
      <c r="I43" s="4" t="s">
        <v>94</v>
      </c>
      <c r="J43" s="4" t="n">
        <v>141</v>
      </c>
      <c r="K43" s="7" t="n">
        <v>0</v>
      </c>
      <c r="L43" s="8" t="n">
        <f aca="false">IF(B43="Named User",7,IF(B43="Named User (Chargeback)",4,3))</f>
        <v>7</v>
      </c>
      <c r="M43" s="8" t="n">
        <f aca="false">IF(C43="Extra Green",25,IF(C43="Green",20,IF(C43="Yellow",8,IF(C43="Red",3,0))))</f>
        <v>8</v>
      </c>
      <c r="N43" s="8" t="n">
        <f aca="false">IF(F43&gt;=1,18,IF(F43&gt;=0.95,16,IF(F43&gt;=0.9,14,IF(F43&gt;=0.8,10,IF(F43&gt;=0.7,6,2)))))</f>
        <v>6</v>
      </c>
      <c r="O43" s="8" t="n">
        <f aca="false">IF(K43=0,0,IF(K43&gt;=50,25,IF(K43&gt;=30,22,IF(K43&gt;=20,18,IF(K43&gt;=10,14,IF(K43&gt;=5,10,5))))))</f>
        <v>0</v>
      </c>
      <c r="P43" s="8" t="n">
        <f aca="false">IF(H43&gt;=25000,10,IF(H43&gt;=15000,8,IF(H43&gt;=10000,6,IF(H43&gt;=5000,4,2))))</f>
        <v>8</v>
      </c>
      <c r="Q43" s="8" t="n">
        <f aca="false">IF(J43&lt;=30,15,IF(J43&lt;=60,13,IF(J43&lt;=90,11,IF(J43&lt;=120,9,IF(J43&lt;=180,6,3)))))</f>
        <v>6</v>
      </c>
      <c r="R43" s="9" t="n">
        <f aca="false">IF(K43=0,0,L43+M43+N43+O43+P43+Q43)</f>
        <v>0</v>
      </c>
      <c r="S43" s="8" t="str">
        <f aca="false">IF(K43=0,"Need Hex Data",IF(R43&gt;=75,"Tier 1",IF(R43&gt;=55,"Tier 2",IF(R43&gt;=35,"Tier 3","Below Threshold"))))</f>
        <v>Need Hex Data</v>
      </c>
    </row>
    <row r="44" customFormat="false" ht="15" hidden="false" customHeight="false" outlineLevel="0" collapsed="false">
      <c r="A44" s="4" t="s">
        <v>95</v>
      </c>
      <c r="B44" s="4" t="s">
        <v>30</v>
      </c>
      <c r="C44" s="4" t="s">
        <v>23</v>
      </c>
      <c r="D44" s="4" t="n">
        <v>40</v>
      </c>
      <c r="E44" s="4" t="n">
        <v>25</v>
      </c>
      <c r="F44" s="5" t="n">
        <f aca="false">IF(D44&gt;0,E44/D44,0)</f>
        <v>0.625</v>
      </c>
      <c r="G44" s="4" t="n">
        <v>19</v>
      </c>
      <c r="H44" s="6" t="n">
        <v>6462</v>
      </c>
      <c r="I44" s="4" t="s">
        <v>96</v>
      </c>
      <c r="J44" s="4" t="n">
        <v>149</v>
      </c>
      <c r="K44" s="7" t="n">
        <v>0</v>
      </c>
      <c r="L44" s="8" t="n">
        <f aca="false">IF(B44="Named User",7,IF(B44="Named User (Chargeback)",4,3))</f>
        <v>4</v>
      </c>
      <c r="M44" s="8" t="n">
        <f aca="false">IF(C44="Extra Green",25,IF(C44="Green",20,IF(C44="Yellow",8,IF(C44="Red",3,0))))</f>
        <v>3</v>
      </c>
      <c r="N44" s="8" t="n">
        <f aca="false">IF(F44&gt;=1,18,IF(F44&gt;=0.95,16,IF(F44&gt;=0.9,14,IF(F44&gt;=0.8,10,IF(F44&gt;=0.7,6,2)))))</f>
        <v>2</v>
      </c>
      <c r="O44" s="8" t="n">
        <f aca="false">IF(K44=0,0,IF(K44&gt;=50,25,IF(K44&gt;=30,22,IF(K44&gt;=20,18,IF(K44&gt;=10,14,IF(K44&gt;=5,10,5))))))</f>
        <v>0</v>
      </c>
      <c r="P44" s="8" t="n">
        <f aca="false">IF(H44&gt;=25000,10,IF(H44&gt;=15000,8,IF(H44&gt;=10000,6,IF(H44&gt;=5000,4,2))))</f>
        <v>4</v>
      </c>
      <c r="Q44" s="8" t="n">
        <f aca="false">IF(J44&lt;=30,15,IF(J44&lt;=60,13,IF(J44&lt;=90,11,IF(J44&lt;=120,9,IF(J44&lt;=180,6,3)))))</f>
        <v>6</v>
      </c>
      <c r="R44" s="9" t="n">
        <f aca="false">IF(K44=0,0,L44+M44+N44+O44+P44+Q44)</f>
        <v>0</v>
      </c>
      <c r="S44" s="8" t="str">
        <f aca="false">IF(K44=0,"Need Hex Data",IF(R44&gt;=75,"Tier 1",IF(R44&gt;=55,"Tier 2",IF(R44&gt;=35,"Tier 3","Below Threshold"))))</f>
        <v>Need Hex Data</v>
      </c>
    </row>
    <row r="45" customFormat="false" ht="15" hidden="false" customHeight="false" outlineLevel="0" collapsed="false">
      <c r="A45" s="4" t="s">
        <v>97</v>
      </c>
      <c r="B45" s="4" t="s">
        <v>33</v>
      </c>
      <c r="C45" s="4" t="s">
        <v>43</v>
      </c>
      <c r="D45" s="4" t="n">
        <v>30</v>
      </c>
      <c r="E45" s="4" t="n">
        <v>29</v>
      </c>
      <c r="F45" s="5" t="n">
        <f aca="false">IF(D45&gt;0,E45/D45,0)</f>
        <v>0.966666666666667</v>
      </c>
      <c r="G45" s="4" t="n">
        <v>20</v>
      </c>
      <c r="H45" s="6" t="n">
        <v>6462</v>
      </c>
      <c r="I45" s="4" t="s">
        <v>96</v>
      </c>
      <c r="J45" s="4" t="n">
        <v>149</v>
      </c>
      <c r="K45" s="7" t="n">
        <v>0</v>
      </c>
      <c r="L45" s="8" t="n">
        <f aca="false">IF(B45="Named User",7,IF(B45="Named User (Chargeback)",4,3))</f>
        <v>7</v>
      </c>
      <c r="M45" s="8" t="n">
        <f aca="false">IF(C45="Extra Green",25,IF(C45="Green",20,IF(C45="Yellow",8,IF(C45="Red",3,0))))</f>
        <v>8</v>
      </c>
      <c r="N45" s="8" t="n">
        <f aca="false">IF(F45&gt;=1,18,IF(F45&gt;=0.95,16,IF(F45&gt;=0.9,14,IF(F45&gt;=0.8,10,IF(F45&gt;=0.7,6,2)))))</f>
        <v>16</v>
      </c>
      <c r="O45" s="8" t="n">
        <f aca="false">IF(K45=0,0,IF(K45&gt;=50,25,IF(K45&gt;=30,22,IF(K45&gt;=20,18,IF(K45&gt;=10,14,IF(K45&gt;=5,10,5))))))</f>
        <v>0</v>
      </c>
      <c r="P45" s="8" t="n">
        <f aca="false">IF(H45&gt;=25000,10,IF(H45&gt;=15000,8,IF(H45&gt;=10000,6,IF(H45&gt;=5000,4,2))))</f>
        <v>4</v>
      </c>
      <c r="Q45" s="8" t="n">
        <f aca="false">IF(J45&lt;=30,15,IF(J45&lt;=60,13,IF(J45&lt;=90,11,IF(J45&lt;=120,9,IF(J45&lt;=180,6,3)))))</f>
        <v>6</v>
      </c>
      <c r="R45" s="9" t="n">
        <f aca="false">IF(K45=0,0,L45+M45+N45+O45+P45+Q45)</f>
        <v>0</v>
      </c>
      <c r="S45" s="8" t="str">
        <f aca="false">IF(K45=0,"Need Hex Data",IF(R45&gt;=75,"Tier 1",IF(R45&gt;=55,"Tier 2",IF(R45&gt;=35,"Tier 3","Below Threshold"))))</f>
        <v>Need Hex Data</v>
      </c>
    </row>
    <row r="46" customFormat="false" ht="15" hidden="false" customHeight="false" outlineLevel="0" collapsed="false">
      <c r="A46" s="4" t="s">
        <v>98</v>
      </c>
      <c r="B46" s="4" t="s">
        <v>33</v>
      </c>
      <c r="C46" s="4" t="s">
        <v>43</v>
      </c>
      <c r="D46" s="4" t="n">
        <v>25</v>
      </c>
      <c r="E46" s="4" t="n">
        <v>25</v>
      </c>
      <c r="F46" s="5" t="n">
        <f aca="false">IF(D46&gt;0,E46/D46,0)</f>
        <v>1</v>
      </c>
      <c r="G46" s="4" t="n">
        <v>14</v>
      </c>
      <c r="H46" s="6" t="n">
        <v>5385</v>
      </c>
      <c r="I46" s="4" t="s">
        <v>99</v>
      </c>
      <c r="J46" s="4" t="n">
        <v>150</v>
      </c>
      <c r="K46" s="7" t="n">
        <v>0</v>
      </c>
      <c r="L46" s="8" t="n">
        <f aca="false">IF(B46="Named User",7,IF(B46="Named User (Chargeback)",4,3))</f>
        <v>7</v>
      </c>
      <c r="M46" s="8" t="n">
        <f aca="false">IF(C46="Extra Green",25,IF(C46="Green",20,IF(C46="Yellow",8,IF(C46="Red",3,0))))</f>
        <v>8</v>
      </c>
      <c r="N46" s="8" t="n">
        <f aca="false">IF(F46&gt;=1,18,IF(F46&gt;=0.95,16,IF(F46&gt;=0.9,14,IF(F46&gt;=0.8,10,IF(F46&gt;=0.7,6,2)))))</f>
        <v>18</v>
      </c>
      <c r="O46" s="8" t="n">
        <f aca="false">IF(K46=0,0,IF(K46&gt;=50,25,IF(K46&gt;=30,22,IF(K46&gt;=20,18,IF(K46&gt;=10,14,IF(K46&gt;=5,10,5))))))</f>
        <v>0</v>
      </c>
      <c r="P46" s="8" t="n">
        <f aca="false">IF(H46&gt;=25000,10,IF(H46&gt;=15000,8,IF(H46&gt;=10000,6,IF(H46&gt;=5000,4,2))))</f>
        <v>4</v>
      </c>
      <c r="Q46" s="8" t="n">
        <f aca="false">IF(J46&lt;=30,15,IF(J46&lt;=60,13,IF(J46&lt;=90,11,IF(J46&lt;=120,9,IF(J46&lt;=180,6,3)))))</f>
        <v>6</v>
      </c>
      <c r="R46" s="9" t="n">
        <f aca="false">IF(K46=0,0,L46+M46+N46+O46+P46+Q46)</f>
        <v>0</v>
      </c>
      <c r="S46" s="8" t="str">
        <f aca="false">IF(K46=0,"Need Hex Data",IF(R46&gt;=75,"Tier 1",IF(R46&gt;=55,"Tier 2",IF(R46&gt;=35,"Tier 3","Below Threshold"))))</f>
        <v>Need Hex Data</v>
      </c>
    </row>
    <row r="47" customFormat="false" ht="15" hidden="false" customHeight="false" outlineLevel="0" collapsed="false">
      <c r="A47" s="4" t="s">
        <v>100</v>
      </c>
      <c r="B47" s="4" t="s">
        <v>33</v>
      </c>
      <c r="C47" s="4" t="s">
        <v>43</v>
      </c>
      <c r="D47" s="4" t="n">
        <v>33</v>
      </c>
      <c r="E47" s="4" t="n">
        <v>21</v>
      </c>
      <c r="F47" s="5" t="n">
        <f aca="false">IF(D47&gt;0,E47/D47,0)</f>
        <v>0.636363636363636</v>
      </c>
      <c r="G47" s="4" t="n">
        <v>16</v>
      </c>
      <c r="H47" s="6" t="n">
        <v>6462</v>
      </c>
      <c r="I47" s="4" t="s">
        <v>101</v>
      </c>
      <c r="J47" s="4" t="n">
        <v>154</v>
      </c>
      <c r="K47" s="7" t="n">
        <v>0</v>
      </c>
      <c r="L47" s="8" t="n">
        <f aca="false">IF(B47="Named User",7,IF(B47="Named User (Chargeback)",4,3))</f>
        <v>7</v>
      </c>
      <c r="M47" s="8" t="n">
        <f aca="false">IF(C47="Extra Green",25,IF(C47="Green",20,IF(C47="Yellow",8,IF(C47="Red",3,0))))</f>
        <v>8</v>
      </c>
      <c r="N47" s="8" t="n">
        <f aca="false">IF(F47&gt;=1,18,IF(F47&gt;=0.95,16,IF(F47&gt;=0.9,14,IF(F47&gt;=0.8,10,IF(F47&gt;=0.7,6,2)))))</f>
        <v>2</v>
      </c>
      <c r="O47" s="8" t="n">
        <f aca="false">IF(K47=0,0,IF(K47&gt;=50,25,IF(K47&gt;=30,22,IF(K47&gt;=20,18,IF(K47&gt;=10,14,IF(K47&gt;=5,10,5))))))</f>
        <v>0</v>
      </c>
      <c r="P47" s="8" t="n">
        <f aca="false">IF(H47&gt;=25000,10,IF(H47&gt;=15000,8,IF(H47&gt;=10000,6,IF(H47&gt;=5000,4,2))))</f>
        <v>4</v>
      </c>
      <c r="Q47" s="8" t="n">
        <f aca="false">IF(J47&lt;=30,15,IF(J47&lt;=60,13,IF(J47&lt;=90,11,IF(J47&lt;=120,9,IF(J47&lt;=180,6,3)))))</f>
        <v>6</v>
      </c>
      <c r="R47" s="9" t="n">
        <f aca="false">IF(K47=0,0,L47+M47+N47+O47+P47+Q47)</f>
        <v>0</v>
      </c>
      <c r="S47" s="8" t="str">
        <f aca="false">IF(K47=0,"Need Hex Data",IF(R47&gt;=75,"Tier 1",IF(R47&gt;=55,"Tier 2",IF(R47&gt;=35,"Tier 3","Below Threshold"))))</f>
        <v>Need Hex Data</v>
      </c>
    </row>
    <row r="48" customFormat="false" ht="15" hidden="false" customHeight="false" outlineLevel="0" collapsed="false">
      <c r="A48" s="4" t="s">
        <v>102</v>
      </c>
      <c r="B48" s="4" t="s">
        <v>33</v>
      </c>
      <c r="C48" s="4" t="s">
        <v>36</v>
      </c>
      <c r="D48" s="4" t="n">
        <v>26</v>
      </c>
      <c r="E48" s="4" t="n">
        <v>26</v>
      </c>
      <c r="F48" s="5" t="n">
        <f aca="false">IF(D48&gt;0,E48/D48,0)</f>
        <v>1</v>
      </c>
      <c r="G48" s="4" t="n">
        <v>21</v>
      </c>
      <c r="H48" s="6" t="n">
        <v>5385</v>
      </c>
      <c r="I48" s="4" t="s">
        <v>103</v>
      </c>
      <c r="J48" s="4" t="n">
        <v>156</v>
      </c>
      <c r="K48" s="7" t="n">
        <v>0</v>
      </c>
      <c r="L48" s="8" t="n">
        <f aca="false">IF(B48="Named User",7,IF(B48="Named User (Chargeback)",4,3))</f>
        <v>7</v>
      </c>
      <c r="M48" s="8" t="n">
        <f aca="false">IF(C48="Extra Green",25,IF(C48="Green",20,IF(C48="Yellow",8,IF(C48="Red",3,0))))</f>
        <v>20</v>
      </c>
      <c r="N48" s="8" t="n">
        <f aca="false">IF(F48&gt;=1,18,IF(F48&gt;=0.95,16,IF(F48&gt;=0.9,14,IF(F48&gt;=0.8,10,IF(F48&gt;=0.7,6,2)))))</f>
        <v>18</v>
      </c>
      <c r="O48" s="8" t="n">
        <f aca="false">IF(K48=0,0,IF(K48&gt;=50,25,IF(K48&gt;=30,22,IF(K48&gt;=20,18,IF(K48&gt;=10,14,IF(K48&gt;=5,10,5))))))</f>
        <v>0</v>
      </c>
      <c r="P48" s="8" t="n">
        <f aca="false">IF(H48&gt;=25000,10,IF(H48&gt;=15000,8,IF(H48&gt;=10000,6,IF(H48&gt;=5000,4,2))))</f>
        <v>4</v>
      </c>
      <c r="Q48" s="8" t="n">
        <f aca="false">IF(J48&lt;=30,15,IF(J48&lt;=60,13,IF(J48&lt;=90,11,IF(J48&lt;=120,9,IF(J48&lt;=180,6,3)))))</f>
        <v>6</v>
      </c>
      <c r="R48" s="9" t="n">
        <f aca="false">IF(K48=0,0,L48+M48+N48+O48+P48+Q48)</f>
        <v>0</v>
      </c>
      <c r="S48" s="8" t="str">
        <f aca="false">IF(K48=0,"Need Hex Data",IF(R48&gt;=75,"Tier 1",IF(R48&gt;=55,"Tier 2",IF(R48&gt;=35,"Tier 3","Below Threshold"))))</f>
        <v>Need Hex Data</v>
      </c>
    </row>
    <row r="49" customFormat="false" ht="15" hidden="false" customHeight="false" outlineLevel="0" collapsed="false">
      <c r="A49" s="4" t="s">
        <v>104</v>
      </c>
      <c r="B49" s="4" t="s">
        <v>33</v>
      </c>
      <c r="C49" s="4" t="s">
        <v>43</v>
      </c>
      <c r="D49" s="4" t="n">
        <v>20</v>
      </c>
      <c r="E49" s="4" t="n">
        <v>17</v>
      </c>
      <c r="F49" s="5" t="n">
        <f aca="false">IF(D49&gt;0,E49/D49,0)</f>
        <v>0.85</v>
      </c>
      <c r="G49" s="4" t="n">
        <v>12</v>
      </c>
      <c r="H49" s="6" t="n">
        <v>4308</v>
      </c>
      <c r="I49" s="4" t="s">
        <v>105</v>
      </c>
      <c r="J49" s="4" t="n">
        <v>163</v>
      </c>
      <c r="K49" s="7" t="n">
        <v>0</v>
      </c>
      <c r="L49" s="8" t="n">
        <f aca="false">IF(B49="Named User",7,IF(B49="Named User (Chargeback)",4,3))</f>
        <v>7</v>
      </c>
      <c r="M49" s="8" t="n">
        <f aca="false">IF(C49="Extra Green",25,IF(C49="Green",20,IF(C49="Yellow",8,IF(C49="Red",3,0))))</f>
        <v>8</v>
      </c>
      <c r="N49" s="8" t="n">
        <f aca="false">IF(F49&gt;=1,18,IF(F49&gt;=0.95,16,IF(F49&gt;=0.9,14,IF(F49&gt;=0.8,10,IF(F49&gt;=0.7,6,2)))))</f>
        <v>10</v>
      </c>
      <c r="O49" s="8" t="n">
        <f aca="false">IF(K49=0,0,IF(K49&gt;=50,25,IF(K49&gt;=30,22,IF(K49&gt;=20,18,IF(K49&gt;=10,14,IF(K49&gt;=5,10,5))))))</f>
        <v>0</v>
      </c>
      <c r="P49" s="8" t="n">
        <f aca="false">IF(H49&gt;=25000,10,IF(H49&gt;=15000,8,IF(H49&gt;=10000,6,IF(H49&gt;=5000,4,2))))</f>
        <v>2</v>
      </c>
      <c r="Q49" s="8" t="n">
        <f aca="false">IF(J49&lt;=30,15,IF(J49&lt;=60,13,IF(J49&lt;=90,11,IF(J49&lt;=120,9,IF(J49&lt;=180,6,3)))))</f>
        <v>6</v>
      </c>
      <c r="R49" s="9" t="n">
        <f aca="false">IF(K49=0,0,L49+M49+N49+O49+P49+Q49)</f>
        <v>0</v>
      </c>
      <c r="S49" s="8" t="str">
        <f aca="false">IF(K49=0,"Need Hex Data",IF(R49&gt;=75,"Tier 1",IF(R49&gt;=55,"Tier 2",IF(R49&gt;=35,"Tier 3","Below Threshold"))))</f>
        <v>Need Hex Data</v>
      </c>
    </row>
    <row r="50" customFormat="false" ht="15" hidden="false" customHeight="false" outlineLevel="0" collapsed="false">
      <c r="A50" s="4" t="s">
        <v>106</v>
      </c>
      <c r="B50" s="4" t="s">
        <v>30</v>
      </c>
      <c r="C50" s="4" t="s">
        <v>23</v>
      </c>
      <c r="D50" s="4" t="n">
        <v>69</v>
      </c>
      <c r="E50" s="4" t="n">
        <v>66</v>
      </c>
      <c r="F50" s="5" t="n">
        <f aca="false">IF(D50&gt;0,E50/D50,0)</f>
        <v>0.956521739130435</v>
      </c>
      <c r="G50" s="4" t="n">
        <v>50</v>
      </c>
      <c r="H50" s="6" t="n">
        <v>14647.2</v>
      </c>
      <c r="I50" s="4" t="s">
        <v>107</v>
      </c>
      <c r="J50" s="4" t="n">
        <v>165</v>
      </c>
      <c r="K50" s="7" t="n">
        <v>0</v>
      </c>
      <c r="L50" s="8" t="n">
        <f aca="false">IF(B50="Named User",7,IF(B50="Named User (Chargeback)",4,3))</f>
        <v>4</v>
      </c>
      <c r="M50" s="8" t="n">
        <f aca="false">IF(C50="Extra Green",25,IF(C50="Green",20,IF(C50="Yellow",8,IF(C50="Red",3,0))))</f>
        <v>3</v>
      </c>
      <c r="N50" s="8" t="n">
        <f aca="false">IF(F50&gt;=1,18,IF(F50&gt;=0.95,16,IF(F50&gt;=0.9,14,IF(F50&gt;=0.8,10,IF(F50&gt;=0.7,6,2)))))</f>
        <v>16</v>
      </c>
      <c r="O50" s="8" t="n">
        <f aca="false">IF(K50=0,0,IF(K50&gt;=50,25,IF(K50&gt;=30,22,IF(K50&gt;=20,18,IF(K50&gt;=10,14,IF(K50&gt;=5,10,5))))))</f>
        <v>0</v>
      </c>
      <c r="P50" s="8" t="n">
        <f aca="false">IF(H50&gt;=25000,10,IF(H50&gt;=15000,8,IF(H50&gt;=10000,6,IF(H50&gt;=5000,4,2))))</f>
        <v>6</v>
      </c>
      <c r="Q50" s="8" t="n">
        <f aca="false">IF(J50&lt;=30,15,IF(J50&lt;=60,13,IF(J50&lt;=90,11,IF(J50&lt;=120,9,IF(J50&lt;=180,6,3)))))</f>
        <v>6</v>
      </c>
      <c r="R50" s="9" t="n">
        <f aca="false">IF(K50=0,0,L50+M50+N50+O50+P50+Q50)</f>
        <v>0</v>
      </c>
      <c r="S50" s="8" t="str">
        <f aca="false">IF(K50=0,"Need Hex Data",IF(R50&gt;=75,"Tier 1",IF(R50&gt;=55,"Tier 2",IF(R50&gt;=35,"Tier 3","Below Threshold"))))</f>
        <v>Need Hex Data</v>
      </c>
    </row>
    <row r="51" customFormat="false" ht="15" hidden="false" customHeight="false" outlineLevel="0" collapsed="false">
      <c r="A51" s="4" t="s">
        <v>108</v>
      </c>
      <c r="B51" s="4" t="s">
        <v>33</v>
      </c>
      <c r="C51" s="4" t="s">
        <v>43</v>
      </c>
      <c r="D51" s="4" t="n">
        <v>25</v>
      </c>
      <c r="E51" s="4" t="n">
        <v>25</v>
      </c>
      <c r="F51" s="5" t="n">
        <f aca="false">IF(D51&gt;0,E51/D51,0)</f>
        <v>1</v>
      </c>
      <c r="G51" s="4" t="n">
        <v>15</v>
      </c>
      <c r="H51" s="6" t="n">
        <v>5385</v>
      </c>
      <c r="I51" s="4" t="s">
        <v>109</v>
      </c>
      <c r="J51" s="4" t="n">
        <v>169</v>
      </c>
      <c r="K51" s="7" t="n">
        <v>0</v>
      </c>
      <c r="L51" s="8" t="n">
        <f aca="false">IF(B51="Named User",7,IF(B51="Named User (Chargeback)",4,3))</f>
        <v>7</v>
      </c>
      <c r="M51" s="8" t="n">
        <f aca="false">IF(C51="Extra Green",25,IF(C51="Green",20,IF(C51="Yellow",8,IF(C51="Red",3,0))))</f>
        <v>8</v>
      </c>
      <c r="N51" s="8" t="n">
        <f aca="false">IF(F51&gt;=1,18,IF(F51&gt;=0.95,16,IF(F51&gt;=0.9,14,IF(F51&gt;=0.8,10,IF(F51&gt;=0.7,6,2)))))</f>
        <v>18</v>
      </c>
      <c r="O51" s="8" t="n">
        <f aca="false">IF(K51=0,0,IF(K51&gt;=50,25,IF(K51&gt;=30,22,IF(K51&gt;=20,18,IF(K51&gt;=10,14,IF(K51&gt;=5,10,5))))))</f>
        <v>0</v>
      </c>
      <c r="P51" s="8" t="n">
        <f aca="false">IF(H51&gt;=25000,10,IF(H51&gt;=15000,8,IF(H51&gt;=10000,6,IF(H51&gt;=5000,4,2))))</f>
        <v>4</v>
      </c>
      <c r="Q51" s="8" t="n">
        <f aca="false">IF(J51&lt;=30,15,IF(J51&lt;=60,13,IF(J51&lt;=90,11,IF(J51&lt;=120,9,IF(J51&lt;=180,6,3)))))</f>
        <v>6</v>
      </c>
      <c r="R51" s="9" t="n">
        <f aca="false">IF(K51=0,0,L51+M51+N51+O51+P51+Q51)</f>
        <v>0</v>
      </c>
      <c r="S51" s="8" t="str">
        <f aca="false">IF(K51=0,"Need Hex Data",IF(R51&gt;=75,"Tier 1",IF(R51&gt;=55,"Tier 2",IF(R51&gt;=35,"Tier 3","Below Threshold"))))</f>
        <v>Need Hex Data</v>
      </c>
    </row>
    <row r="52" customFormat="false" ht="15" hidden="false" customHeight="false" outlineLevel="0" collapsed="false">
      <c r="A52" s="4" t="s">
        <v>110</v>
      </c>
      <c r="B52" s="4" t="s">
        <v>30</v>
      </c>
      <c r="C52" s="4" t="s">
        <v>23</v>
      </c>
      <c r="D52" s="4" t="n">
        <v>29</v>
      </c>
      <c r="E52" s="4" t="n">
        <v>24</v>
      </c>
      <c r="F52" s="5" t="n">
        <f aca="false">IF(D52&gt;0,E52/D52,0)</f>
        <v>0.827586206896552</v>
      </c>
      <c r="G52" s="4" t="n">
        <v>17</v>
      </c>
      <c r="H52" s="6" t="n">
        <v>6031.2</v>
      </c>
      <c r="I52" s="4" t="s">
        <v>111</v>
      </c>
      <c r="J52" s="4" t="n">
        <v>176</v>
      </c>
      <c r="K52" s="7" t="n">
        <v>0</v>
      </c>
      <c r="L52" s="8" t="n">
        <f aca="false">IF(B52="Named User",7,IF(B52="Named User (Chargeback)",4,3))</f>
        <v>4</v>
      </c>
      <c r="M52" s="8" t="n">
        <f aca="false">IF(C52="Extra Green",25,IF(C52="Green",20,IF(C52="Yellow",8,IF(C52="Red",3,0))))</f>
        <v>3</v>
      </c>
      <c r="N52" s="8" t="n">
        <f aca="false">IF(F52&gt;=1,18,IF(F52&gt;=0.95,16,IF(F52&gt;=0.9,14,IF(F52&gt;=0.8,10,IF(F52&gt;=0.7,6,2)))))</f>
        <v>10</v>
      </c>
      <c r="O52" s="8" t="n">
        <f aca="false">IF(K52=0,0,IF(K52&gt;=50,25,IF(K52&gt;=30,22,IF(K52&gt;=20,18,IF(K52&gt;=10,14,IF(K52&gt;=5,10,5))))))</f>
        <v>0</v>
      </c>
      <c r="P52" s="8" t="n">
        <f aca="false">IF(H52&gt;=25000,10,IF(H52&gt;=15000,8,IF(H52&gt;=10000,6,IF(H52&gt;=5000,4,2))))</f>
        <v>4</v>
      </c>
      <c r="Q52" s="8" t="n">
        <f aca="false">IF(J52&lt;=30,15,IF(J52&lt;=60,13,IF(J52&lt;=90,11,IF(J52&lt;=120,9,IF(J52&lt;=180,6,3)))))</f>
        <v>6</v>
      </c>
      <c r="R52" s="9" t="n">
        <f aca="false">IF(K52=0,0,L52+M52+N52+O52+P52+Q52)</f>
        <v>0</v>
      </c>
      <c r="S52" s="8" t="str">
        <f aca="false">IF(K52=0,"Need Hex Data",IF(R52&gt;=75,"Tier 1",IF(R52&gt;=55,"Tier 2",IF(R52&gt;=35,"Tier 3","Below Threshold"))))</f>
        <v>Need Hex Data</v>
      </c>
    </row>
    <row r="53" customFormat="false" ht="15" hidden="false" customHeight="false" outlineLevel="0" collapsed="false">
      <c r="A53" s="4" t="s">
        <v>112</v>
      </c>
      <c r="B53" s="4" t="s">
        <v>33</v>
      </c>
      <c r="C53" s="4" t="s">
        <v>43</v>
      </c>
      <c r="D53" s="4" t="n">
        <v>20</v>
      </c>
      <c r="E53" s="4" t="n">
        <v>18</v>
      </c>
      <c r="F53" s="5" t="n">
        <f aca="false">IF(D53&gt;0,E53/D53,0)</f>
        <v>0.9</v>
      </c>
      <c r="G53" s="4" t="n">
        <v>13</v>
      </c>
      <c r="H53" s="6" t="n">
        <v>4308</v>
      </c>
      <c r="I53" s="4" t="s">
        <v>113</v>
      </c>
      <c r="J53" s="4" t="n">
        <v>181</v>
      </c>
      <c r="K53" s="7" t="n">
        <v>0</v>
      </c>
      <c r="L53" s="8" t="n">
        <f aca="false">IF(B53="Named User",7,IF(B53="Named User (Chargeback)",4,3))</f>
        <v>7</v>
      </c>
      <c r="M53" s="8" t="n">
        <f aca="false">IF(C53="Extra Green",25,IF(C53="Green",20,IF(C53="Yellow",8,IF(C53="Red",3,0))))</f>
        <v>8</v>
      </c>
      <c r="N53" s="8" t="n">
        <f aca="false">IF(F53&gt;=1,18,IF(F53&gt;=0.95,16,IF(F53&gt;=0.9,14,IF(F53&gt;=0.8,10,IF(F53&gt;=0.7,6,2)))))</f>
        <v>14</v>
      </c>
      <c r="O53" s="8" t="n">
        <f aca="false">IF(K53=0,0,IF(K53&gt;=50,25,IF(K53&gt;=30,22,IF(K53&gt;=20,18,IF(K53&gt;=10,14,IF(K53&gt;=5,10,5))))))</f>
        <v>0</v>
      </c>
      <c r="P53" s="8" t="n">
        <f aca="false">IF(H53&gt;=25000,10,IF(H53&gt;=15000,8,IF(H53&gt;=10000,6,IF(H53&gt;=5000,4,2))))</f>
        <v>2</v>
      </c>
      <c r="Q53" s="8" t="n">
        <f aca="false">IF(J53&lt;=30,15,IF(J53&lt;=60,13,IF(J53&lt;=90,11,IF(J53&lt;=120,9,IF(J53&lt;=180,6,3)))))</f>
        <v>3</v>
      </c>
      <c r="R53" s="9" t="n">
        <f aca="false">IF(K53=0,0,L53+M53+N53+O53+P53+Q53)</f>
        <v>0</v>
      </c>
      <c r="S53" s="8" t="str">
        <f aca="false">IF(K53=0,"Need Hex Data",IF(R53&gt;=75,"Tier 1",IF(R53&gt;=55,"Tier 2",IF(R53&gt;=35,"Tier 3","Below Threshold"))))</f>
        <v>Need Hex Data</v>
      </c>
    </row>
    <row r="54" customFormat="false" ht="15" hidden="false" customHeight="false" outlineLevel="0" collapsed="false">
      <c r="A54" s="4" t="s">
        <v>114</v>
      </c>
      <c r="B54" s="4" t="s">
        <v>33</v>
      </c>
      <c r="C54" s="4" t="s">
        <v>43</v>
      </c>
      <c r="D54" s="4" t="n">
        <v>21</v>
      </c>
      <c r="E54" s="4" t="n">
        <v>17</v>
      </c>
      <c r="F54" s="5" t="n">
        <f aca="false">IF(D54&gt;0,E54/D54,0)</f>
        <v>0.80952380952381</v>
      </c>
      <c r="G54" s="4" t="n">
        <v>15</v>
      </c>
      <c r="H54" s="6" t="n">
        <v>4523.4</v>
      </c>
      <c r="I54" s="4" t="s">
        <v>115</v>
      </c>
      <c r="J54" s="4" t="n">
        <v>185</v>
      </c>
      <c r="K54" s="7" t="n">
        <v>0</v>
      </c>
      <c r="L54" s="8" t="n">
        <f aca="false">IF(B54="Named User",7,IF(B54="Named User (Chargeback)",4,3))</f>
        <v>7</v>
      </c>
      <c r="M54" s="8" t="n">
        <f aca="false">IF(C54="Extra Green",25,IF(C54="Green",20,IF(C54="Yellow",8,IF(C54="Red",3,0))))</f>
        <v>8</v>
      </c>
      <c r="N54" s="8" t="n">
        <f aca="false">IF(F54&gt;=1,18,IF(F54&gt;=0.95,16,IF(F54&gt;=0.9,14,IF(F54&gt;=0.8,10,IF(F54&gt;=0.7,6,2)))))</f>
        <v>10</v>
      </c>
      <c r="O54" s="8" t="n">
        <f aca="false">IF(K54=0,0,IF(K54&gt;=50,25,IF(K54&gt;=30,22,IF(K54&gt;=20,18,IF(K54&gt;=10,14,IF(K54&gt;=5,10,5))))))</f>
        <v>0</v>
      </c>
      <c r="P54" s="8" t="n">
        <f aca="false">IF(H54&gt;=25000,10,IF(H54&gt;=15000,8,IF(H54&gt;=10000,6,IF(H54&gt;=5000,4,2))))</f>
        <v>2</v>
      </c>
      <c r="Q54" s="8" t="n">
        <f aca="false">IF(J54&lt;=30,15,IF(J54&lt;=60,13,IF(J54&lt;=90,11,IF(J54&lt;=120,9,IF(J54&lt;=180,6,3)))))</f>
        <v>3</v>
      </c>
      <c r="R54" s="9" t="n">
        <f aca="false">IF(K54=0,0,L54+M54+N54+O54+P54+Q54)</f>
        <v>0</v>
      </c>
      <c r="S54" s="8" t="str">
        <f aca="false">IF(K54=0,"Need Hex Data",IF(R54&gt;=75,"Tier 1",IF(R54&gt;=55,"Tier 2",IF(R54&gt;=35,"Tier 3","Below Threshold"))))</f>
        <v>Need Hex Data</v>
      </c>
    </row>
    <row r="55" customFormat="false" ht="15" hidden="false" customHeight="false" outlineLevel="0" collapsed="false">
      <c r="A55" s="4" t="s">
        <v>116</v>
      </c>
      <c r="B55" s="4" t="s">
        <v>30</v>
      </c>
      <c r="C55" s="4" t="s">
        <v>43</v>
      </c>
      <c r="D55" s="4" t="n">
        <v>26</v>
      </c>
      <c r="E55" s="4" t="n">
        <v>25</v>
      </c>
      <c r="F55" s="5" t="n">
        <f aca="false">IF(D55&gt;0,E55/D55,0)</f>
        <v>0.961538461538462</v>
      </c>
      <c r="G55" s="4" t="n">
        <v>20</v>
      </c>
      <c r="H55" s="6" t="n">
        <v>5385</v>
      </c>
      <c r="I55" s="4" t="s">
        <v>117</v>
      </c>
      <c r="J55" s="4" t="n">
        <v>192</v>
      </c>
      <c r="K55" s="7" t="n">
        <v>0</v>
      </c>
      <c r="L55" s="8" t="n">
        <f aca="false">IF(B55="Named User",7,IF(B55="Named User (Chargeback)",4,3))</f>
        <v>4</v>
      </c>
      <c r="M55" s="8" t="n">
        <f aca="false">IF(C55="Extra Green",25,IF(C55="Green",20,IF(C55="Yellow",8,IF(C55="Red",3,0))))</f>
        <v>8</v>
      </c>
      <c r="N55" s="8" t="n">
        <f aca="false">IF(F55&gt;=1,18,IF(F55&gt;=0.95,16,IF(F55&gt;=0.9,14,IF(F55&gt;=0.8,10,IF(F55&gt;=0.7,6,2)))))</f>
        <v>16</v>
      </c>
      <c r="O55" s="8" t="n">
        <f aca="false">IF(K55=0,0,IF(K55&gt;=50,25,IF(K55&gt;=30,22,IF(K55&gt;=20,18,IF(K55&gt;=10,14,IF(K55&gt;=5,10,5))))))</f>
        <v>0</v>
      </c>
      <c r="P55" s="8" t="n">
        <f aca="false">IF(H55&gt;=25000,10,IF(H55&gt;=15000,8,IF(H55&gt;=10000,6,IF(H55&gt;=5000,4,2))))</f>
        <v>4</v>
      </c>
      <c r="Q55" s="8" t="n">
        <f aca="false">IF(J55&lt;=30,15,IF(J55&lt;=60,13,IF(J55&lt;=90,11,IF(J55&lt;=120,9,IF(J55&lt;=180,6,3)))))</f>
        <v>3</v>
      </c>
      <c r="R55" s="9" t="n">
        <f aca="false">IF(K55=0,0,L55+M55+N55+O55+P55+Q55)</f>
        <v>0</v>
      </c>
      <c r="S55" s="8" t="str">
        <f aca="false">IF(K55=0,"Need Hex Data",IF(R55&gt;=75,"Tier 1",IF(R55&gt;=55,"Tier 2",IF(R55&gt;=35,"Tier 3","Below Threshold"))))</f>
        <v>Need Hex Data</v>
      </c>
    </row>
    <row r="56" customFormat="false" ht="15" hidden="false" customHeight="false" outlineLevel="0" collapsed="false">
      <c r="A56" s="4" t="s">
        <v>118</v>
      </c>
      <c r="B56" s="4" t="s">
        <v>22</v>
      </c>
      <c r="C56" s="4" t="s">
        <v>23</v>
      </c>
      <c r="D56" s="4" t="n">
        <v>55</v>
      </c>
      <c r="E56" s="4" t="n">
        <v>36</v>
      </c>
      <c r="F56" s="5" t="n">
        <f aca="false">IF(D56&gt;0,E56/D56,0)</f>
        <v>0.654545454545455</v>
      </c>
      <c r="G56" s="4" t="n">
        <v>34</v>
      </c>
      <c r="H56" s="6" t="n">
        <v>10770</v>
      </c>
      <c r="I56" s="4" t="s">
        <v>119</v>
      </c>
      <c r="J56" s="4" t="n">
        <v>198</v>
      </c>
      <c r="K56" s="7" t="n">
        <v>0</v>
      </c>
      <c r="L56" s="8" t="n">
        <f aca="false">IF(B56="Named User",7,IF(B56="Named User (Chargeback)",4,3))</f>
        <v>3</v>
      </c>
      <c r="M56" s="8" t="n">
        <f aca="false">IF(C56="Extra Green",25,IF(C56="Green",20,IF(C56="Yellow",8,IF(C56="Red",3,0))))</f>
        <v>3</v>
      </c>
      <c r="N56" s="8" t="n">
        <f aca="false">IF(F56&gt;=1,18,IF(F56&gt;=0.95,16,IF(F56&gt;=0.9,14,IF(F56&gt;=0.8,10,IF(F56&gt;=0.7,6,2)))))</f>
        <v>2</v>
      </c>
      <c r="O56" s="8" t="n">
        <f aca="false">IF(K56=0,0,IF(K56&gt;=50,25,IF(K56&gt;=30,22,IF(K56&gt;=20,18,IF(K56&gt;=10,14,IF(K56&gt;=5,10,5))))))</f>
        <v>0</v>
      </c>
      <c r="P56" s="8" t="n">
        <f aca="false">IF(H56&gt;=25000,10,IF(H56&gt;=15000,8,IF(H56&gt;=10000,6,IF(H56&gt;=5000,4,2))))</f>
        <v>6</v>
      </c>
      <c r="Q56" s="8" t="n">
        <f aca="false">IF(J56&lt;=30,15,IF(J56&lt;=60,13,IF(J56&lt;=90,11,IF(J56&lt;=120,9,IF(J56&lt;=180,6,3)))))</f>
        <v>3</v>
      </c>
      <c r="R56" s="9" t="n">
        <f aca="false">IF(K56=0,0,L56+M56+N56+O56+P56+Q56)</f>
        <v>0</v>
      </c>
      <c r="S56" s="8" t="str">
        <f aca="false">IF(K56=0,"Need Hex Data",IF(R56&gt;=75,"Tier 1",IF(R56&gt;=55,"Tier 2",IF(R56&gt;=35,"Tier 3","Below Threshold"))))</f>
        <v>Need Hex Data</v>
      </c>
    </row>
    <row r="57" customFormat="false" ht="15" hidden="false" customHeight="false" outlineLevel="0" collapsed="false">
      <c r="A57" s="4" t="s">
        <v>120</v>
      </c>
      <c r="B57" s="4" t="s">
        <v>30</v>
      </c>
      <c r="C57" s="4" t="s">
        <v>23</v>
      </c>
      <c r="D57" s="4" t="n">
        <v>111</v>
      </c>
      <c r="E57" s="4" t="n">
        <v>110</v>
      </c>
      <c r="F57" s="5" t="n">
        <f aca="false">IF(D57&gt;0,E57/D57,0)</f>
        <v>0.990990990990991</v>
      </c>
      <c r="G57" s="4" t="n">
        <v>68</v>
      </c>
      <c r="H57" s="6" t="n">
        <v>22594</v>
      </c>
      <c r="I57" s="4" t="s">
        <v>121</v>
      </c>
      <c r="J57" s="4" t="n">
        <v>199</v>
      </c>
      <c r="K57" s="7" t="n">
        <v>0</v>
      </c>
      <c r="L57" s="8" t="n">
        <f aca="false">IF(B57="Named User",7,IF(B57="Named User (Chargeback)",4,3))</f>
        <v>4</v>
      </c>
      <c r="M57" s="8" t="n">
        <f aca="false">IF(C57="Extra Green",25,IF(C57="Green",20,IF(C57="Yellow",8,IF(C57="Red",3,0))))</f>
        <v>3</v>
      </c>
      <c r="N57" s="8" t="n">
        <f aca="false">IF(F57&gt;=1,18,IF(F57&gt;=0.95,16,IF(F57&gt;=0.9,14,IF(F57&gt;=0.8,10,IF(F57&gt;=0.7,6,2)))))</f>
        <v>16</v>
      </c>
      <c r="O57" s="8" t="n">
        <f aca="false">IF(K57=0,0,IF(K57&gt;=50,25,IF(K57&gt;=30,22,IF(K57&gt;=20,18,IF(K57&gt;=10,14,IF(K57&gt;=5,10,5))))))</f>
        <v>0</v>
      </c>
      <c r="P57" s="8" t="n">
        <f aca="false">IF(H57&gt;=25000,10,IF(H57&gt;=15000,8,IF(H57&gt;=10000,6,IF(H57&gt;=5000,4,2))))</f>
        <v>8</v>
      </c>
      <c r="Q57" s="8" t="n">
        <f aca="false">IF(J57&lt;=30,15,IF(J57&lt;=60,13,IF(J57&lt;=90,11,IF(J57&lt;=120,9,IF(J57&lt;=180,6,3)))))</f>
        <v>3</v>
      </c>
      <c r="R57" s="9" t="n">
        <f aca="false">IF(K57=0,0,L57+M57+N57+O57+P57+Q57)</f>
        <v>0</v>
      </c>
      <c r="S57" s="8" t="str">
        <f aca="false">IF(K57=0,"Need Hex Data",IF(R57&gt;=75,"Tier 1",IF(R57&gt;=55,"Tier 2",IF(R57&gt;=35,"Tier 3","Below Threshold"))))</f>
        <v>Need Hex Data</v>
      </c>
    </row>
    <row r="58" customFormat="false" ht="15" hidden="false" customHeight="false" outlineLevel="0" collapsed="false">
      <c r="A58" s="4" t="s">
        <v>122</v>
      </c>
      <c r="B58" s="4" t="s">
        <v>33</v>
      </c>
      <c r="C58" s="4" t="s">
        <v>43</v>
      </c>
      <c r="D58" s="4" t="n">
        <v>33</v>
      </c>
      <c r="E58" s="4" t="n">
        <v>31</v>
      </c>
      <c r="F58" s="5" t="n">
        <f aca="false">IF(D58&gt;0,E58/D58,0)</f>
        <v>0.939393939393939</v>
      </c>
      <c r="G58" s="4" t="n">
        <v>24</v>
      </c>
      <c r="H58" s="6" t="n">
        <v>7108.2</v>
      </c>
      <c r="I58" s="4" t="s">
        <v>123</v>
      </c>
      <c r="J58" s="4" t="n">
        <v>215</v>
      </c>
      <c r="K58" s="7" t="n">
        <v>0</v>
      </c>
      <c r="L58" s="8" t="n">
        <f aca="false">IF(B58="Named User",7,IF(B58="Named User (Chargeback)",4,3))</f>
        <v>7</v>
      </c>
      <c r="M58" s="8" t="n">
        <f aca="false">IF(C58="Extra Green",25,IF(C58="Green",20,IF(C58="Yellow",8,IF(C58="Red",3,0))))</f>
        <v>8</v>
      </c>
      <c r="N58" s="8" t="n">
        <f aca="false">IF(F58&gt;=1,18,IF(F58&gt;=0.95,16,IF(F58&gt;=0.9,14,IF(F58&gt;=0.8,10,IF(F58&gt;=0.7,6,2)))))</f>
        <v>14</v>
      </c>
      <c r="O58" s="8" t="n">
        <f aca="false">IF(K58=0,0,IF(K58&gt;=50,25,IF(K58&gt;=30,22,IF(K58&gt;=20,18,IF(K58&gt;=10,14,IF(K58&gt;=5,10,5))))))</f>
        <v>0</v>
      </c>
      <c r="P58" s="8" t="n">
        <f aca="false">IF(H58&gt;=25000,10,IF(H58&gt;=15000,8,IF(H58&gt;=10000,6,IF(H58&gt;=5000,4,2))))</f>
        <v>4</v>
      </c>
      <c r="Q58" s="8" t="n">
        <f aca="false">IF(J58&lt;=30,15,IF(J58&lt;=60,13,IF(J58&lt;=90,11,IF(J58&lt;=120,9,IF(J58&lt;=180,6,3)))))</f>
        <v>3</v>
      </c>
      <c r="R58" s="9" t="n">
        <f aca="false">IF(K58=0,0,L58+M58+N58+O58+P58+Q58)</f>
        <v>0</v>
      </c>
      <c r="S58" s="8" t="str">
        <f aca="false">IF(K58=0,"Need Hex Data",IF(R58&gt;=75,"Tier 1",IF(R58&gt;=55,"Tier 2",IF(R58&gt;=35,"Tier 3","Below Threshold"))))</f>
        <v>Need Hex Data</v>
      </c>
    </row>
    <row r="59" customFormat="false" ht="15" hidden="false" customHeight="false" outlineLevel="0" collapsed="false">
      <c r="A59" s="4" t="s">
        <v>124</v>
      </c>
      <c r="B59" s="4" t="s">
        <v>33</v>
      </c>
      <c r="C59" s="4" t="s">
        <v>43</v>
      </c>
      <c r="D59" s="4" t="n">
        <v>21</v>
      </c>
      <c r="E59" s="4" t="n">
        <v>21</v>
      </c>
      <c r="F59" s="5" t="n">
        <f aca="false">IF(D59&gt;0,E59/D59,0)</f>
        <v>1</v>
      </c>
      <c r="G59" s="4" t="n">
        <v>11</v>
      </c>
      <c r="H59" s="6" t="n">
        <v>4308</v>
      </c>
      <c r="I59" s="4" t="s">
        <v>125</v>
      </c>
      <c r="J59" s="4" t="n">
        <v>217</v>
      </c>
      <c r="K59" s="7" t="n">
        <v>0</v>
      </c>
      <c r="L59" s="8" t="n">
        <f aca="false">IF(B59="Named User",7,IF(B59="Named User (Chargeback)",4,3))</f>
        <v>7</v>
      </c>
      <c r="M59" s="8" t="n">
        <f aca="false">IF(C59="Extra Green",25,IF(C59="Green",20,IF(C59="Yellow",8,IF(C59="Red",3,0))))</f>
        <v>8</v>
      </c>
      <c r="N59" s="8" t="n">
        <f aca="false">IF(F59&gt;=1,18,IF(F59&gt;=0.95,16,IF(F59&gt;=0.9,14,IF(F59&gt;=0.8,10,IF(F59&gt;=0.7,6,2)))))</f>
        <v>18</v>
      </c>
      <c r="O59" s="8" t="n">
        <f aca="false">IF(K59=0,0,IF(K59&gt;=50,25,IF(K59&gt;=30,22,IF(K59&gt;=20,18,IF(K59&gt;=10,14,IF(K59&gt;=5,10,5))))))</f>
        <v>0</v>
      </c>
      <c r="P59" s="8" t="n">
        <f aca="false">IF(H59&gt;=25000,10,IF(H59&gt;=15000,8,IF(H59&gt;=10000,6,IF(H59&gt;=5000,4,2))))</f>
        <v>2</v>
      </c>
      <c r="Q59" s="8" t="n">
        <f aca="false">IF(J59&lt;=30,15,IF(J59&lt;=60,13,IF(J59&lt;=90,11,IF(J59&lt;=120,9,IF(J59&lt;=180,6,3)))))</f>
        <v>3</v>
      </c>
      <c r="R59" s="9" t="n">
        <f aca="false">IF(K59=0,0,L59+M59+N59+O59+P59+Q59)</f>
        <v>0</v>
      </c>
      <c r="S59" s="8" t="str">
        <f aca="false">IF(K59=0,"Need Hex Data",IF(R59&gt;=75,"Tier 1",IF(R59&gt;=55,"Tier 2",IF(R59&gt;=35,"Tier 3","Below Threshold"))))</f>
        <v>Need Hex Data</v>
      </c>
    </row>
    <row r="60" customFormat="false" ht="15" hidden="false" customHeight="false" outlineLevel="0" collapsed="false">
      <c r="A60" s="4" t="s">
        <v>126</v>
      </c>
      <c r="B60" s="4" t="s">
        <v>33</v>
      </c>
      <c r="C60" s="4" t="s">
        <v>23</v>
      </c>
      <c r="D60" s="4" t="n">
        <v>115</v>
      </c>
      <c r="E60" s="4" t="n">
        <v>74</v>
      </c>
      <c r="F60" s="5" t="n">
        <f aca="false">IF(D60&gt;0,E60/D60,0)</f>
        <v>0.643478260869565</v>
      </c>
      <c r="G60" s="4" t="n">
        <v>33</v>
      </c>
      <c r="H60" s="6" t="n">
        <v>7471</v>
      </c>
      <c r="I60" s="4" t="s">
        <v>127</v>
      </c>
      <c r="J60" s="4" t="n">
        <v>234</v>
      </c>
      <c r="K60" s="7" t="n">
        <v>0</v>
      </c>
      <c r="L60" s="8" t="n">
        <f aca="false">IF(B60="Named User",7,IF(B60="Named User (Chargeback)",4,3))</f>
        <v>7</v>
      </c>
      <c r="M60" s="8" t="n">
        <f aca="false">IF(C60="Extra Green",25,IF(C60="Green",20,IF(C60="Yellow",8,IF(C60="Red",3,0))))</f>
        <v>3</v>
      </c>
      <c r="N60" s="8" t="n">
        <f aca="false">IF(F60&gt;=1,18,IF(F60&gt;=0.95,16,IF(F60&gt;=0.9,14,IF(F60&gt;=0.8,10,IF(F60&gt;=0.7,6,2)))))</f>
        <v>2</v>
      </c>
      <c r="O60" s="8" t="n">
        <f aca="false">IF(K60=0,0,IF(K60&gt;=50,25,IF(K60&gt;=30,22,IF(K60&gt;=20,18,IF(K60&gt;=10,14,IF(K60&gt;=5,10,5))))))</f>
        <v>0</v>
      </c>
      <c r="P60" s="8" t="n">
        <f aca="false">IF(H60&gt;=25000,10,IF(H60&gt;=15000,8,IF(H60&gt;=10000,6,IF(H60&gt;=5000,4,2))))</f>
        <v>4</v>
      </c>
      <c r="Q60" s="8" t="n">
        <f aca="false">IF(J60&lt;=30,15,IF(J60&lt;=60,13,IF(J60&lt;=90,11,IF(J60&lt;=120,9,IF(J60&lt;=180,6,3)))))</f>
        <v>3</v>
      </c>
      <c r="R60" s="9" t="n">
        <f aca="false">IF(K60=0,0,L60+M60+N60+O60+P60+Q60)</f>
        <v>0</v>
      </c>
      <c r="S60" s="8" t="str">
        <f aca="false">IF(K60=0,"Need Hex Data",IF(R60&gt;=75,"Tier 1",IF(R60&gt;=55,"Tier 2",IF(R60&gt;=35,"Tier 3","Below Threshold"))))</f>
        <v>Need Hex Data</v>
      </c>
    </row>
    <row r="61" customFormat="false" ht="15" hidden="false" customHeight="false" outlineLevel="0" collapsed="false">
      <c r="A61" s="4" t="s">
        <v>128</v>
      </c>
      <c r="B61" s="4" t="s">
        <v>33</v>
      </c>
      <c r="C61" s="4" t="s">
        <v>36</v>
      </c>
      <c r="D61" s="4" t="n">
        <v>25</v>
      </c>
      <c r="E61" s="4" t="n">
        <v>25</v>
      </c>
      <c r="F61" s="5" t="n">
        <f aca="false">IF(D61&gt;0,E61/D61,0)</f>
        <v>1</v>
      </c>
      <c r="G61" s="4" t="n">
        <v>21</v>
      </c>
      <c r="H61" s="6" t="n">
        <v>5385</v>
      </c>
      <c r="I61" s="4" t="s">
        <v>129</v>
      </c>
      <c r="J61" s="4" t="n">
        <v>251</v>
      </c>
      <c r="K61" s="7" t="n">
        <v>0</v>
      </c>
      <c r="L61" s="8" t="n">
        <f aca="false">IF(B61="Named User",7,IF(B61="Named User (Chargeback)",4,3))</f>
        <v>7</v>
      </c>
      <c r="M61" s="8" t="n">
        <f aca="false">IF(C61="Extra Green",25,IF(C61="Green",20,IF(C61="Yellow",8,IF(C61="Red",3,0))))</f>
        <v>20</v>
      </c>
      <c r="N61" s="8" t="n">
        <f aca="false">IF(F61&gt;=1,18,IF(F61&gt;=0.95,16,IF(F61&gt;=0.9,14,IF(F61&gt;=0.8,10,IF(F61&gt;=0.7,6,2)))))</f>
        <v>18</v>
      </c>
      <c r="O61" s="8" t="n">
        <f aca="false">IF(K61=0,0,IF(K61&gt;=50,25,IF(K61&gt;=30,22,IF(K61&gt;=20,18,IF(K61&gt;=10,14,IF(K61&gt;=5,10,5))))))</f>
        <v>0</v>
      </c>
      <c r="P61" s="8" t="n">
        <f aca="false">IF(H61&gt;=25000,10,IF(H61&gt;=15000,8,IF(H61&gt;=10000,6,IF(H61&gt;=5000,4,2))))</f>
        <v>4</v>
      </c>
      <c r="Q61" s="8" t="n">
        <f aca="false">IF(J61&lt;=30,15,IF(J61&lt;=60,13,IF(J61&lt;=90,11,IF(J61&lt;=120,9,IF(J61&lt;=180,6,3)))))</f>
        <v>3</v>
      </c>
      <c r="R61" s="9" t="n">
        <f aca="false">IF(K61=0,0,L61+M61+N61+O61+P61+Q61)</f>
        <v>0</v>
      </c>
      <c r="S61" s="8" t="str">
        <f aca="false">IF(K61=0,"Need Hex Data",IF(R61&gt;=75,"Tier 1",IF(R61&gt;=55,"Tier 2",IF(R61&gt;=35,"Tier 3","Below Threshold"))))</f>
        <v>Need Hex Data</v>
      </c>
    </row>
    <row r="62" customFormat="false" ht="15" hidden="false" customHeight="false" outlineLevel="0" collapsed="false">
      <c r="A62" s="4" t="s">
        <v>130</v>
      </c>
      <c r="B62" s="4" t="s">
        <v>33</v>
      </c>
      <c r="C62" s="4" t="s">
        <v>43</v>
      </c>
      <c r="D62" s="4" t="n">
        <v>20</v>
      </c>
      <c r="E62" s="4" t="n">
        <v>11</v>
      </c>
      <c r="F62" s="5" t="n">
        <f aca="false">IF(D62&gt;0,E62/D62,0)</f>
        <v>0.55</v>
      </c>
      <c r="G62" s="4" t="n">
        <v>10</v>
      </c>
      <c r="H62" s="6" t="n">
        <v>4308</v>
      </c>
      <c r="I62" s="4" t="s">
        <v>129</v>
      </c>
      <c r="J62" s="4" t="n">
        <v>251</v>
      </c>
      <c r="K62" s="7" t="n">
        <v>0</v>
      </c>
      <c r="L62" s="8" t="n">
        <f aca="false">IF(B62="Named User",7,IF(B62="Named User (Chargeback)",4,3))</f>
        <v>7</v>
      </c>
      <c r="M62" s="8" t="n">
        <f aca="false">IF(C62="Extra Green",25,IF(C62="Green",20,IF(C62="Yellow",8,IF(C62="Red",3,0))))</f>
        <v>8</v>
      </c>
      <c r="N62" s="8" t="n">
        <f aca="false">IF(F62&gt;=1,18,IF(F62&gt;=0.95,16,IF(F62&gt;=0.9,14,IF(F62&gt;=0.8,10,IF(F62&gt;=0.7,6,2)))))</f>
        <v>2</v>
      </c>
      <c r="O62" s="8" t="n">
        <f aca="false">IF(K62=0,0,IF(K62&gt;=50,25,IF(K62&gt;=30,22,IF(K62&gt;=20,18,IF(K62&gt;=10,14,IF(K62&gt;=5,10,5))))))</f>
        <v>0</v>
      </c>
      <c r="P62" s="8" t="n">
        <f aca="false">IF(H62&gt;=25000,10,IF(H62&gt;=15000,8,IF(H62&gt;=10000,6,IF(H62&gt;=5000,4,2))))</f>
        <v>2</v>
      </c>
      <c r="Q62" s="8" t="n">
        <f aca="false">IF(J62&lt;=30,15,IF(J62&lt;=60,13,IF(J62&lt;=90,11,IF(J62&lt;=120,9,IF(J62&lt;=180,6,3)))))</f>
        <v>3</v>
      </c>
      <c r="R62" s="9" t="n">
        <f aca="false">IF(K62=0,0,L62+M62+N62+O62+P62+Q62)</f>
        <v>0</v>
      </c>
      <c r="S62" s="8" t="str">
        <f aca="false">IF(K62=0,"Need Hex Data",IF(R62&gt;=75,"Tier 1",IF(R62&gt;=55,"Tier 2",IF(R62&gt;=35,"Tier 3","Below Threshold"))))</f>
        <v>Need Hex Data</v>
      </c>
    </row>
    <row r="63" customFormat="false" ht="15" hidden="false" customHeight="false" outlineLevel="0" collapsed="false">
      <c r="A63" s="4" t="s">
        <v>131</v>
      </c>
      <c r="B63" s="4" t="s">
        <v>33</v>
      </c>
      <c r="C63" s="4" t="s">
        <v>36</v>
      </c>
      <c r="D63" s="4" t="n">
        <v>20</v>
      </c>
      <c r="E63" s="4" t="n">
        <v>20</v>
      </c>
      <c r="F63" s="5" t="n">
        <f aca="false">IF(D63&gt;0,E63/D63,0)</f>
        <v>1</v>
      </c>
      <c r="G63" s="4" t="n">
        <v>18</v>
      </c>
      <c r="H63" s="6" t="n">
        <v>4308</v>
      </c>
      <c r="I63" s="4" t="s">
        <v>132</v>
      </c>
      <c r="J63" s="4" t="n">
        <v>261</v>
      </c>
      <c r="K63" s="7" t="n">
        <v>0</v>
      </c>
      <c r="L63" s="8" t="n">
        <f aca="false">IF(B63="Named User",7,IF(B63="Named User (Chargeback)",4,3))</f>
        <v>7</v>
      </c>
      <c r="M63" s="8" t="n">
        <f aca="false">IF(C63="Extra Green",25,IF(C63="Green",20,IF(C63="Yellow",8,IF(C63="Red",3,0))))</f>
        <v>20</v>
      </c>
      <c r="N63" s="8" t="n">
        <f aca="false">IF(F63&gt;=1,18,IF(F63&gt;=0.95,16,IF(F63&gt;=0.9,14,IF(F63&gt;=0.8,10,IF(F63&gt;=0.7,6,2)))))</f>
        <v>18</v>
      </c>
      <c r="O63" s="8" t="n">
        <f aca="false">IF(K63=0,0,IF(K63&gt;=50,25,IF(K63&gt;=30,22,IF(K63&gt;=20,18,IF(K63&gt;=10,14,IF(K63&gt;=5,10,5))))))</f>
        <v>0</v>
      </c>
      <c r="P63" s="8" t="n">
        <f aca="false">IF(H63&gt;=25000,10,IF(H63&gt;=15000,8,IF(H63&gt;=10000,6,IF(H63&gt;=5000,4,2))))</f>
        <v>2</v>
      </c>
      <c r="Q63" s="8" t="n">
        <f aca="false">IF(J63&lt;=30,15,IF(J63&lt;=60,13,IF(J63&lt;=90,11,IF(J63&lt;=120,9,IF(J63&lt;=180,6,3)))))</f>
        <v>3</v>
      </c>
      <c r="R63" s="9" t="n">
        <f aca="false">IF(K63=0,0,L63+M63+N63+O63+P63+Q63)</f>
        <v>0</v>
      </c>
      <c r="S63" s="8" t="str">
        <f aca="false">IF(K63=0,"Need Hex Data",IF(R63&gt;=75,"Tier 1",IF(R63&gt;=55,"Tier 2",IF(R63&gt;=35,"Tier 3","Below Threshold"))))</f>
        <v>Need Hex Data</v>
      </c>
    </row>
    <row r="64" customFormat="false" ht="15" hidden="false" customHeight="false" outlineLevel="0" collapsed="false">
      <c r="A64" s="4" t="s">
        <v>133</v>
      </c>
      <c r="B64" s="4" t="s">
        <v>33</v>
      </c>
      <c r="C64" s="4" t="s">
        <v>43</v>
      </c>
      <c r="D64" s="4" t="n">
        <v>26</v>
      </c>
      <c r="E64" s="4" t="n">
        <v>24</v>
      </c>
      <c r="F64" s="5" t="n">
        <f aca="false">IF(D64&gt;0,E64/D64,0)</f>
        <v>0.923076923076923</v>
      </c>
      <c r="G64" s="4" t="n">
        <v>17</v>
      </c>
      <c r="H64" s="6" t="n">
        <v>5600.4</v>
      </c>
      <c r="I64" s="4" t="s">
        <v>134</v>
      </c>
      <c r="J64" s="4" t="n">
        <v>263</v>
      </c>
      <c r="K64" s="7" t="n">
        <v>0</v>
      </c>
      <c r="L64" s="8" t="n">
        <f aca="false">IF(B64="Named User",7,IF(B64="Named User (Chargeback)",4,3))</f>
        <v>7</v>
      </c>
      <c r="M64" s="8" t="n">
        <f aca="false">IF(C64="Extra Green",25,IF(C64="Green",20,IF(C64="Yellow",8,IF(C64="Red",3,0))))</f>
        <v>8</v>
      </c>
      <c r="N64" s="8" t="n">
        <f aca="false">IF(F64&gt;=1,18,IF(F64&gt;=0.95,16,IF(F64&gt;=0.9,14,IF(F64&gt;=0.8,10,IF(F64&gt;=0.7,6,2)))))</f>
        <v>14</v>
      </c>
      <c r="O64" s="8" t="n">
        <f aca="false">IF(K64=0,0,IF(K64&gt;=50,25,IF(K64&gt;=30,22,IF(K64&gt;=20,18,IF(K64&gt;=10,14,IF(K64&gt;=5,10,5))))))</f>
        <v>0</v>
      </c>
      <c r="P64" s="8" t="n">
        <f aca="false">IF(H64&gt;=25000,10,IF(H64&gt;=15000,8,IF(H64&gt;=10000,6,IF(H64&gt;=5000,4,2))))</f>
        <v>4</v>
      </c>
      <c r="Q64" s="8" t="n">
        <f aca="false">IF(J64&lt;=30,15,IF(J64&lt;=60,13,IF(J64&lt;=90,11,IF(J64&lt;=120,9,IF(J64&lt;=180,6,3)))))</f>
        <v>3</v>
      </c>
      <c r="R64" s="9" t="n">
        <f aca="false">IF(K64=0,0,L64+M64+N64+O64+P64+Q64)</f>
        <v>0</v>
      </c>
      <c r="S64" s="8" t="str">
        <f aca="false">IF(K64=0,"Need Hex Data",IF(R64&gt;=75,"Tier 1",IF(R64&gt;=55,"Tier 2",IF(R64&gt;=35,"Tier 3","Below Threshold"))))</f>
        <v>Need Hex Data</v>
      </c>
    </row>
    <row r="65" customFormat="false" ht="15" hidden="false" customHeight="false" outlineLevel="0" collapsed="false">
      <c r="A65" s="4" t="s">
        <v>135</v>
      </c>
      <c r="B65" s="4" t="s">
        <v>22</v>
      </c>
      <c r="C65" s="4" t="s">
        <v>23</v>
      </c>
      <c r="D65" s="4" t="n">
        <v>52</v>
      </c>
      <c r="E65" s="4" t="n">
        <v>12</v>
      </c>
      <c r="F65" s="5" t="n">
        <f aca="false">IF(D65&gt;0,E65/D65,0)</f>
        <v>0.230769230769231</v>
      </c>
      <c r="G65" s="4" t="n">
        <v>11</v>
      </c>
      <c r="H65" s="6" t="n">
        <v>6462</v>
      </c>
      <c r="I65" s="4" t="s">
        <v>136</v>
      </c>
      <c r="J65" s="4" t="n">
        <v>272</v>
      </c>
      <c r="K65" s="7" t="n">
        <v>0</v>
      </c>
      <c r="L65" s="8" t="n">
        <f aca="false">IF(B65="Named User",7,IF(B65="Named User (Chargeback)",4,3))</f>
        <v>3</v>
      </c>
      <c r="M65" s="8" t="n">
        <f aca="false">IF(C65="Extra Green",25,IF(C65="Green",20,IF(C65="Yellow",8,IF(C65="Red",3,0))))</f>
        <v>3</v>
      </c>
      <c r="N65" s="8" t="n">
        <f aca="false">IF(F65&gt;=1,18,IF(F65&gt;=0.95,16,IF(F65&gt;=0.9,14,IF(F65&gt;=0.8,10,IF(F65&gt;=0.7,6,2)))))</f>
        <v>2</v>
      </c>
      <c r="O65" s="8" t="n">
        <f aca="false">IF(K65=0,0,IF(K65&gt;=50,25,IF(K65&gt;=30,22,IF(K65&gt;=20,18,IF(K65&gt;=10,14,IF(K65&gt;=5,10,5))))))</f>
        <v>0</v>
      </c>
      <c r="P65" s="8" t="n">
        <f aca="false">IF(H65&gt;=25000,10,IF(H65&gt;=15000,8,IF(H65&gt;=10000,6,IF(H65&gt;=5000,4,2))))</f>
        <v>4</v>
      </c>
      <c r="Q65" s="8" t="n">
        <f aca="false">IF(J65&lt;=30,15,IF(J65&lt;=60,13,IF(J65&lt;=90,11,IF(J65&lt;=120,9,IF(J65&lt;=180,6,3)))))</f>
        <v>3</v>
      </c>
      <c r="R65" s="9" t="n">
        <f aca="false">IF(K65=0,0,L65+M65+N65+O65+P65+Q65)</f>
        <v>0</v>
      </c>
      <c r="S65" s="8" t="str">
        <f aca="false">IF(K65=0,"Need Hex Data",IF(R65&gt;=75,"Tier 1",IF(R65&gt;=55,"Tier 2",IF(R65&gt;=35,"Tier 3","Below Threshold"))))</f>
        <v>Need Hex Data</v>
      </c>
    </row>
    <row r="66" customFormat="false" ht="15" hidden="false" customHeight="false" outlineLevel="0" collapsed="false">
      <c r="A66" s="4" t="s">
        <v>137</v>
      </c>
      <c r="B66" s="4" t="s">
        <v>22</v>
      </c>
      <c r="C66" s="4" t="s">
        <v>23</v>
      </c>
      <c r="D66" s="4" t="n">
        <v>150</v>
      </c>
      <c r="E66" s="4" t="n">
        <v>86</v>
      </c>
      <c r="F66" s="5" t="n">
        <f aca="false">IF(D66&gt;0,E66/D66,0)</f>
        <v>0.573333333333333</v>
      </c>
      <c r="G66" s="4" t="n">
        <v>51</v>
      </c>
      <c r="H66" s="6" t="n">
        <v>20540</v>
      </c>
      <c r="I66" s="4" t="s">
        <v>138</v>
      </c>
      <c r="J66" s="4" t="n">
        <v>276</v>
      </c>
      <c r="K66" s="7" t="n">
        <v>0</v>
      </c>
      <c r="L66" s="8" t="n">
        <f aca="false">IF(B66="Named User",7,IF(B66="Named User (Chargeback)",4,3))</f>
        <v>3</v>
      </c>
      <c r="M66" s="8" t="n">
        <f aca="false">IF(C66="Extra Green",25,IF(C66="Green",20,IF(C66="Yellow",8,IF(C66="Red",3,0))))</f>
        <v>3</v>
      </c>
      <c r="N66" s="8" t="n">
        <f aca="false">IF(F66&gt;=1,18,IF(F66&gt;=0.95,16,IF(F66&gt;=0.9,14,IF(F66&gt;=0.8,10,IF(F66&gt;=0.7,6,2)))))</f>
        <v>2</v>
      </c>
      <c r="O66" s="8" t="n">
        <f aca="false">IF(K66=0,0,IF(K66&gt;=50,25,IF(K66&gt;=30,22,IF(K66&gt;=20,18,IF(K66&gt;=10,14,IF(K66&gt;=5,10,5))))))</f>
        <v>0</v>
      </c>
      <c r="P66" s="8" t="n">
        <f aca="false">IF(H66&gt;=25000,10,IF(H66&gt;=15000,8,IF(H66&gt;=10000,6,IF(H66&gt;=5000,4,2))))</f>
        <v>8</v>
      </c>
      <c r="Q66" s="8" t="n">
        <f aca="false">IF(J66&lt;=30,15,IF(J66&lt;=60,13,IF(J66&lt;=90,11,IF(J66&lt;=120,9,IF(J66&lt;=180,6,3)))))</f>
        <v>3</v>
      </c>
      <c r="R66" s="9" t="n">
        <f aca="false">IF(K66=0,0,L66+M66+N66+O66+P66+Q66)</f>
        <v>0</v>
      </c>
      <c r="S66" s="8" t="str">
        <f aca="false">IF(K66=0,"Need Hex Data",IF(R66&gt;=75,"Tier 1",IF(R66&gt;=55,"Tier 2",IF(R66&gt;=35,"Tier 3","Below Threshold"))))</f>
        <v>Need Hex Data</v>
      </c>
    </row>
    <row r="67" customFormat="false" ht="15" hidden="false" customHeight="false" outlineLevel="0" collapsed="false">
      <c r="A67" s="4" t="s">
        <v>139</v>
      </c>
      <c r="B67" s="4" t="s">
        <v>33</v>
      </c>
      <c r="C67" s="4" t="s">
        <v>36</v>
      </c>
      <c r="D67" s="4" t="n">
        <v>26</v>
      </c>
      <c r="E67" s="4" t="n">
        <v>25</v>
      </c>
      <c r="F67" s="5" t="n">
        <f aca="false">IF(D67&gt;0,E67/D67,0)</f>
        <v>0.961538461538462</v>
      </c>
      <c r="G67" s="4" t="n">
        <v>22</v>
      </c>
      <c r="H67" s="6" t="n">
        <v>5600.4</v>
      </c>
      <c r="I67" s="4" t="s">
        <v>140</v>
      </c>
      <c r="J67" s="4" t="n">
        <v>277</v>
      </c>
      <c r="K67" s="7" t="n">
        <v>0</v>
      </c>
      <c r="L67" s="8" t="n">
        <f aca="false">IF(B67="Named User",7,IF(B67="Named User (Chargeback)",4,3))</f>
        <v>7</v>
      </c>
      <c r="M67" s="8" t="n">
        <f aca="false">IF(C67="Extra Green",25,IF(C67="Green",20,IF(C67="Yellow",8,IF(C67="Red",3,0))))</f>
        <v>20</v>
      </c>
      <c r="N67" s="8" t="n">
        <f aca="false">IF(F67&gt;=1,18,IF(F67&gt;=0.95,16,IF(F67&gt;=0.9,14,IF(F67&gt;=0.8,10,IF(F67&gt;=0.7,6,2)))))</f>
        <v>16</v>
      </c>
      <c r="O67" s="8" t="n">
        <f aca="false">IF(K67=0,0,IF(K67&gt;=50,25,IF(K67&gt;=30,22,IF(K67&gt;=20,18,IF(K67&gt;=10,14,IF(K67&gt;=5,10,5))))))</f>
        <v>0</v>
      </c>
      <c r="P67" s="8" t="n">
        <f aca="false">IF(H67&gt;=25000,10,IF(H67&gt;=15000,8,IF(H67&gt;=10000,6,IF(H67&gt;=5000,4,2))))</f>
        <v>4</v>
      </c>
      <c r="Q67" s="8" t="n">
        <f aca="false">IF(J67&lt;=30,15,IF(J67&lt;=60,13,IF(J67&lt;=90,11,IF(J67&lt;=120,9,IF(J67&lt;=180,6,3)))))</f>
        <v>3</v>
      </c>
      <c r="R67" s="9" t="n">
        <f aca="false">IF(K67=0,0,L67+M67+N67+O67+P67+Q67)</f>
        <v>0</v>
      </c>
      <c r="S67" s="8" t="str">
        <f aca="false">IF(K67=0,"Need Hex Data",IF(R67&gt;=75,"Tier 1",IF(R67&gt;=55,"Tier 2",IF(R67&gt;=35,"Tier 3","Below Threshold"))))</f>
        <v>Need Hex Data</v>
      </c>
    </row>
    <row r="68" customFormat="false" ht="15" hidden="false" customHeight="false" outlineLevel="0" collapsed="false">
      <c r="A68" s="4" t="s">
        <v>141</v>
      </c>
      <c r="B68" s="4" t="s">
        <v>33</v>
      </c>
      <c r="C68" s="4" t="s">
        <v>36</v>
      </c>
      <c r="D68" s="4" t="n">
        <v>20</v>
      </c>
      <c r="E68" s="4" t="n">
        <v>19</v>
      </c>
      <c r="F68" s="5" t="n">
        <f aca="false">IF(D68&gt;0,E68/D68,0)</f>
        <v>0.95</v>
      </c>
      <c r="G68" s="4" t="n">
        <v>18</v>
      </c>
      <c r="H68" s="6" t="n">
        <v>4308</v>
      </c>
      <c r="I68" s="4" t="s">
        <v>140</v>
      </c>
      <c r="J68" s="4" t="n">
        <v>277</v>
      </c>
      <c r="K68" s="7" t="n">
        <v>0</v>
      </c>
      <c r="L68" s="8" t="n">
        <f aca="false">IF(B68="Named User",7,IF(B68="Named User (Chargeback)",4,3))</f>
        <v>7</v>
      </c>
      <c r="M68" s="8" t="n">
        <f aca="false">IF(C68="Extra Green",25,IF(C68="Green",20,IF(C68="Yellow",8,IF(C68="Red",3,0))))</f>
        <v>20</v>
      </c>
      <c r="N68" s="8" t="n">
        <f aca="false">IF(F68&gt;=1,18,IF(F68&gt;=0.95,16,IF(F68&gt;=0.9,14,IF(F68&gt;=0.8,10,IF(F68&gt;=0.7,6,2)))))</f>
        <v>16</v>
      </c>
      <c r="O68" s="8" t="n">
        <f aca="false">IF(K68=0,0,IF(K68&gt;=50,25,IF(K68&gt;=30,22,IF(K68&gt;=20,18,IF(K68&gt;=10,14,IF(K68&gt;=5,10,5))))))</f>
        <v>0</v>
      </c>
      <c r="P68" s="8" t="n">
        <f aca="false">IF(H68&gt;=25000,10,IF(H68&gt;=15000,8,IF(H68&gt;=10000,6,IF(H68&gt;=5000,4,2))))</f>
        <v>2</v>
      </c>
      <c r="Q68" s="8" t="n">
        <f aca="false">IF(J68&lt;=30,15,IF(J68&lt;=60,13,IF(J68&lt;=90,11,IF(J68&lt;=120,9,IF(J68&lt;=180,6,3)))))</f>
        <v>3</v>
      </c>
      <c r="R68" s="9" t="n">
        <f aca="false">IF(K68=0,0,L68+M68+N68+O68+P68+Q68)</f>
        <v>0</v>
      </c>
      <c r="S68" s="8" t="str">
        <f aca="false">IF(K68=0,"Need Hex Data",IF(R68&gt;=75,"Tier 1",IF(R68&gt;=55,"Tier 2",IF(R68&gt;=35,"Tier 3","Below Threshold"))))</f>
        <v>Need Hex Data</v>
      </c>
    </row>
    <row r="69" customFormat="false" ht="15" hidden="false" customHeight="false" outlineLevel="0" collapsed="false">
      <c r="A69" s="4" t="s">
        <v>142</v>
      </c>
      <c r="B69" s="4" t="s">
        <v>22</v>
      </c>
      <c r="C69" s="4" t="s">
        <v>23</v>
      </c>
      <c r="D69" s="4" t="n">
        <v>125</v>
      </c>
      <c r="E69" s="4" t="n">
        <v>13</v>
      </c>
      <c r="F69" s="5" t="n">
        <f aca="false">IF(D69&gt;0,E69/D69,0)</f>
        <v>0.104</v>
      </c>
      <c r="G69" s="4" t="n">
        <v>11</v>
      </c>
      <c r="H69" s="6" t="n">
        <v>20540</v>
      </c>
      <c r="I69" s="4" t="s">
        <v>143</v>
      </c>
      <c r="J69" s="4" t="n">
        <v>279</v>
      </c>
      <c r="K69" s="7" t="n">
        <v>0</v>
      </c>
      <c r="L69" s="8" t="n">
        <f aca="false">IF(B69="Named User",7,IF(B69="Named User (Chargeback)",4,3))</f>
        <v>3</v>
      </c>
      <c r="M69" s="8" t="n">
        <f aca="false">IF(C69="Extra Green",25,IF(C69="Green",20,IF(C69="Yellow",8,IF(C69="Red",3,0))))</f>
        <v>3</v>
      </c>
      <c r="N69" s="8" t="n">
        <f aca="false">IF(F69&gt;=1,18,IF(F69&gt;=0.95,16,IF(F69&gt;=0.9,14,IF(F69&gt;=0.8,10,IF(F69&gt;=0.7,6,2)))))</f>
        <v>2</v>
      </c>
      <c r="O69" s="8" t="n">
        <f aca="false">IF(K69=0,0,IF(K69&gt;=50,25,IF(K69&gt;=30,22,IF(K69&gt;=20,18,IF(K69&gt;=10,14,IF(K69&gt;=5,10,5))))))</f>
        <v>0</v>
      </c>
      <c r="P69" s="8" t="n">
        <f aca="false">IF(H69&gt;=25000,10,IF(H69&gt;=15000,8,IF(H69&gt;=10000,6,IF(H69&gt;=5000,4,2))))</f>
        <v>8</v>
      </c>
      <c r="Q69" s="8" t="n">
        <f aca="false">IF(J69&lt;=30,15,IF(J69&lt;=60,13,IF(J69&lt;=90,11,IF(J69&lt;=120,9,IF(J69&lt;=180,6,3)))))</f>
        <v>3</v>
      </c>
      <c r="R69" s="9" t="n">
        <f aca="false">IF(K69=0,0,L69+M69+N69+O69+P69+Q69)</f>
        <v>0</v>
      </c>
      <c r="S69" s="8" t="str">
        <f aca="false">IF(K69=0,"Need Hex Data",IF(R69&gt;=75,"Tier 1",IF(R69&gt;=55,"Tier 2",IF(R69&gt;=35,"Tier 3","Below Threshold"))))</f>
        <v>Need Hex Data</v>
      </c>
    </row>
    <row r="70" customFormat="false" ht="15" hidden="false" customHeight="false" outlineLevel="0" collapsed="false">
      <c r="A70" s="4" t="s">
        <v>144</v>
      </c>
      <c r="B70" s="4" t="s">
        <v>33</v>
      </c>
      <c r="C70" s="4" t="s">
        <v>43</v>
      </c>
      <c r="D70" s="4" t="n">
        <v>68</v>
      </c>
      <c r="E70" s="4" t="n">
        <v>66</v>
      </c>
      <c r="F70" s="5" t="n">
        <f aca="false">IF(D70&gt;0,E70/D70,0)</f>
        <v>0.970588235294118</v>
      </c>
      <c r="G70" s="4" t="n">
        <v>35</v>
      </c>
      <c r="H70" s="6" t="n">
        <v>14431.8</v>
      </c>
      <c r="I70" s="4" t="s">
        <v>145</v>
      </c>
      <c r="J70" s="4" t="n">
        <v>284</v>
      </c>
      <c r="K70" s="7" t="n">
        <v>0</v>
      </c>
      <c r="L70" s="8" t="n">
        <f aca="false">IF(B70="Named User",7,IF(B70="Named User (Chargeback)",4,3))</f>
        <v>7</v>
      </c>
      <c r="M70" s="8" t="n">
        <f aca="false">IF(C70="Extra Green",25,IF(C70="Green",20,IF(C70="Yellow",8,IF(C70="Red",3,0))))</f>
        <v>8</v>
      </c>
      <c r="N70" s="8" t="n">
        <f aca="false">IF(F70&gt;=1,18,IF(F70&gt;=0.95,16,IF(F70&gt;=0.9,14,IF(F70&gt;=0.8,10,IF(F70&gt;=0.7,6,2)))))</f>
        <v>16</v>
      </c>
      <c r="O70" s="8" t="n">
        <f aca="false">IF(K70=0,0,IF(K70&gt;=50,25,IF(K70&gt;=30,22,IF(K70&gt;=20,18,IF(K70&gt;=10,14,IF(K70&gt;=5,10,5))))))</f>
        <v>0</v>
      </c>
      <c r="P70" s="8" t="n">
        <f aca="false">IF(H70&gt;=25000,10,IF(H70&gt;=15000,8,IF(H70&gt;=10000,6,IF(H70&gt;=5000,4,2))))</f>
        <v>6</v>
      </c>
      <c r="Q70" s="8" t="n">
        <f aca="false">IF(J70&lt;=30,15,IF(J70&lt;=60,13,IF(J70&lt;=90,11,IF(J70&lt;=120,9,IF(J70&lt;=180,6,3)))))</f>
        <v>3</v>
      </c>
      <c r="R70" s="9" t="n">
        <f aca="false">IF(K70=0,0,L70+M70+N70+O70+P70+Q70)</f>
        <v>0</v>
      </c>
      <c r="S70" s="8" t="str">
        <f aca="false">IF(K70=0,"Need Hex Data",IF(R70&gt;=75,"Tier 1",IF(R70&gt;=55,"Tier 2",IF(R70&gt;=35,"Tier 3","Below Threshold"))))</f>
        <v>Need Hex Data</v>
      </c>
    </row>
    <row r="71" customFormat="false" ht="15" hidden="false" customHeight="false" outlineLevel="0" collapsed="false">
      <c r="A71" s="4" t="s">
        <v>146</v>
      </c>
      <c r="B71" s="4" t="s">
        <v>33</v>
      </c>
      <c r="C71" s="4" t="s">
        <v>23</v>
      </c>
      <c r="D71" s="4" t="n">
        <v>160</v>
      </c>
      <c r="E71" s="4" t="n">
        <v>145</v>
      </c>
      <c r="F71" s="5" t="n">
        <f aca="false">IF(D71&gt;0,E71/D71,0)</f>
        <v>0.90625</v>
      </c>
      <c r="G71" s="4" t="n">
        <v>63</v>
      </c>
      <c r="H71" s="6" t="n">
        <v>32864</v>
      </c>
      <c r="I71" s="4" t="s">
        <v>147</v>
      </c>
      <c r="J71" s="4" t="n">
        <v>285</v>
      </c>
      <c r="K71" s="7" t="n">
        <v>0</v>
      </c>
      <c r="L71" s="8" t="n">
        <f aca="false">IF(B71="Named User",7,IF(B71="Named User (Chargeback)",4,3))</f>
        <v>7</v>
      </c>
      <c r="M71" s="8" t="n">
        <f aca="false">IF(C71="Extra Green",25,IF(C71="Green",20,IF(C71="Yellow",8,IF(C71="Red",3,0))))</f>
        <v>3</v>
      </c>
      <c r="N71" s="8" t="n">
        <f aca="false">IF(F71&gt;=1,18,IF(F71&gt;=0.95,16,IF(F71&gt;=0.9,14,IF(F71&gt;=0.8,10,IF(F71&gt;=0.7,6,2)))))</f>
        <v>14</v>
      </c>
      <c r="O71" s="8" t="n">
        <f aca="false">IF(K71=0,0,IF(K71&gt;=50,25,IF(K71&gt;=30,22,IF(K71&gt;=20,18,IF(K71&gt;=10,14,IF(K71&gt;=5,10,5))))))</f>
        <v>0</v>
      </c>
      <c r="P71" s="8" t="n">
        <f aca="false">IF(H71&gt;=25000,10,IF(H71&gt;=15000,8,IF(H71&gt;=10000,6,IF(H71&gt;=5000,4,2))))</f>
        <v>10</v>
      </c>
      <c r="Q71" s="8" t="n">
        <f aca="false">IF(J71&lt;=30,15,IF(J71&lt;=60,13,IF(J71&lt;=90,11,IF(J71&lt;=120,9,IF(J71&lt;=180,6,3)))))</f>
        <v>3</v>
      </c>
      <c r="R71" s="9" t="n">
        <f aca="false">IF(K71=0,0,L71+M71+N71+O71+P71+Q71)</f>
        <v>0</v>
      </c>
      <c r="S71" s="8" t="str">
        <f aca="false">IF(K71=0,"Need Hex Data",IF(R71&gt;=75,"Tier 1",IF(R71&gt;=55,"Tier 2",IF(R71&gt;=35,"Tier 3","Below Threshold"))))</f>
        <v>Need Hex Data</v>
      </c>
    </row>
    <row r="72" customFormat="false" ht="15" hidden="false" customHeight="false" outlineLevel="0" collapsed="false">
      <c r="A72" s="4" t="s">
        <v>148</v>
      </c>
      <c r="B72" s="4" t="s">
        <v>33</v>
      </c>
      <c r="C72" s="4" t="s">
        <v>36</v>
      </c>
      <c r="D72" s="4" t="n">
        <v>21</v>
      </c>
      <c r="E72" s="4" t="n">
        <v>18</v>
      </c>
      <c r="F72" s="5" t="n">
        <f aca="false">IF(D72&gt;0,E72/D72,0)</f>
        <v>0.857142857142857</v>
      </c>
      <c r="G72" s="4" t="n">
        <v>16</v>
      </c>
      <c r="H72" s="6" t="n">
        <v>4308</v>
      </c>
      <c r="I72" s="4" t="s">
        <v>149</v>
      </c>
      <c r="J72" s="4" t="n">
        <v>290</v>
      </c>
      <c r="K72" s="7" t="n">
        <v>0</v>
      </c>
      <c r="L72" s="8" t="n">
        <f aca="false">IF(B72="Named User",7,IF(B72="Named User (Chargeback)",4,3))</f>
        <v>7</v>
      </c>
      <c r="M72" s="8" t="n">
        <f aca="false">IF(C72="Extra Green",25,IF(C72="Green",20,IF(C72="Yellow",8,IF(C72="Red",3,0))))</f>
        <v>20</v>
      </c>
      <c r="N72" s="8" t="n">
        <f aca="false">IF(F72&gt;=1,18,IF(F72&gt;=0.95,16,IF(F72&gt;=0.9,14,IF(F72&gt;=0.8,10,IF(F72&gt;=0.7,6,2)))))</f>
        <v>10</v>
      </c>
      <c r="O72" s="8" t="n">
        <f aca="false">IF(K72=0,0,IF(K72&gt;=50,25,IF(K72&gt;=30,22,IF(K72&gt;=20,18,IF(K72&gt;=10,14,IF(K72&gt;=5,10,5))))))</f>
        <v>0</v>
      </c>
      <c r="P72" s="8" t="n">
        <f aca="false">IF(H72&gt;=25000,10,IF(H72&gt;=15000,8,IF(H72&gt;=10000,6,IF(H72&gt;=5000,4,2))))</f>
        <v>2</v>
      </c>
      <c r="Q72" s="8" t="n">
        <f aca="false">IF(J72&lt;=30,15,IF(J72&lt;=60,13,IF(J72&lt;=90,11,IF(J72&lt;=120,9,IF(J72&lt;=180,6,3)))))</f>
        <v>3</v>
      </c>
      <c r="R72" s="9" t="n">
        <f aca="false">IF(K72=0,0,L72+M72+N72+O72+P72+Q72)</f>
        <v>0</v>
      </c>
      <c r="S72" s="8" t="str">
        <f aca="false">IF(K72=0,"Need Hex Data",IF(R72&gt;=75,"Tier 1",IF(R72&gt;=55,"Tier 2",IF(R72&gt;=35,"Tier 3","Below Threshold"))))</f>
        <v>Need Hex Data</v>
      </c>
    </row>
    <row r="73" customFormat="false" ht="15" hidden="false" customHeight="false" outlineLevel="0" collapsed="false">
      <c r="A73" s="4" t="s">
        <v>150</v>
      </c>
      <c r="B73" s="4" t="s">
        <v>33</v>
      </c>
      <c r="C73" s="4" t="s">
        <v>23</v>
      </c>
      <c r="D73" s="4" t="n">
        <v>21</v>
      </c>
      <c r="E73" s="4" t="n">
        <v>19</v>
      </c>
      <c r="F73" s="5" t="n">
        <f aca="false">IF(D73&gt;0,E73/D73,0)</f>
        <v>0.904761904761905</v>
      </c>
      <c r="G73" s="4" t="n">
        <v>7</v>
      </c>
      <c r="H73" s="6" t="n">
        <v>4308</v>
      </c>
      <c r="I73" s="4" t="s">
        <v>151</v>
      </c>
      <c r="J73" s="4" t="n">
        <v>296</v>
      </c>
      <c r="K73" s="7" t="n">
        <v>0</v>
      </c>
      <c r="L73" s="8" t="n">
        <f aca="false">IF(B73="Named User",7,IF(B73="Named User (Chargeback)",4,3))</f>
        <v>7</v>
      </c>
      <c r="M73" s="8" t="n">
        <f aca="false">IF(C73="Extra Green",25,IF(C73="Green",20,IF(C73="Yellow",8,IF(C73="Red",3,0))))</f>
        <v>3</v>
      </c>
      <c r="N73" s="8" t="n">
        <f aca="false">IF(F73&gt;=1,18,IF(F73&gt;=0.95,16,IF(F73&gt;=0.9,14,IF(F73&gt;=0.8,10,IF(F73&gt;=0.7,6,2)))))</f>
        <v>14</v>
      </c>
      <c r="O73" s="8" t="n">
        <f aca="false">IF(K73=0,0,IF(K73&gt;=50,25,IF(K73&gt;=30,22,IF(K73&gt;=20,18,IF(K73&gt;=10,14,IF(K73&gt;=5,10,5))))))</f>
        <v>0</v>
      </c>
      <c r="P73" s="8" t="n">
        <f aca="false">IF(H73&gt;=25000,10,IF(H73&gt;=15000,8,IF(H73&gt;=10000,6,IF(H73&gt;=5000,4,2))))</f>
        <v>2</v>
      </c>
      <c r="Q73" s="8" t="n">
        <f aca="false">IF(J73&lt;=30,15,IF(J73&lt;=60,13,IF(J73&lt;=90,11,IF(J73&lt;=120,9,IF(J73&lt;=180,6,3)))))</f>
        <v>3</v>
      </c>
      <c r="R73" s="9" t="n">
        <f aca="false">IF(K73=0,0,L73+M73+N73+O73+P73+Q73)</f>
        <v>0</v>
      </c>
      <c r="S73" s="8" t="str">
        <f aca="false">IF(K73=0,"Need Hex Data",IF(R73&gt;=75,"Tier 1",IF(R73&gt;=55,"Tier 2",IF(R73&gt;=35,"Tier 3","Below Threshold"))))</f>
        <v>Need Hex Data</v>
      </c>
    </row>
    <row r="74" customFormat="false" ht="15" hidden="false" customHeight="false" outlineLevel="0" collapsed="false">
      <c r="A74" s="4" t="s">
        <v>152</v>
      </c>
      <c r="B74" s="4" t="s">
        <v>33</v>
      </c>
      <c r="C74" s="4" t="s">
        <v>43</v>
      </c>
      <c r="D74" s="4" t="n">
        <v>20</v>
      </c>
      <c r="E74" s="4" t="n">
        <v>13</v>
      </c>
      <c r="F74" s="5" t="n">
        <f aca="false">IF(D74&gt;0,E74/D74,0)</f>
        <v>0.65</v>
      </c>
      <c r="G74" s="4" t="n">
        <v>13</v>
      </c>
      <c r="H74" s="6" t="n">
        <v>4308</v>
      </c>
      <c r="I74" s="4" t="s">
        <v>153</v>
      </c>
      <c r="J74" s="4" t="n">
        <v>306</v>
      </c>
      <c r="K74" s="7" t="n">
        <v>0</v>
      </c>
      <c r="L74" s="8" t="n">
        <f aca="false">IF(B74="Named User",7,IF(B74="Named User (Chargeback)",4,3))</f>
        <v>7</v>
      </c>
      <c r="M74" s="8" t="n">
        <f aca="false">IF(C74="Extra Green",25,IF(C74="Green",20,IF(C74="Yellow",8,IF(C74="Red",3,0))))</f>
        <v>8</v>
      </c>
      <c r="N74" s="8" t="n">
        <f aca="false">IF(F74&gt;=1,18,IF(F74&gt;=0.95,16,IF(F74&gt;=0.9,14,IF(F74&gt;=0.8,10,IF(F74&gt;=0.7,6,2)))))</f>
        <v>2</v>
      </c>
      <c r="O74" s="8" t="n">
        <f aca="false">IF(K74=0,0,IF(K74&gt;=50,25,IF(K74&gt;=30,22,IF(K74&gt;=20,18,IF(K74&gt;=10,14,IF(K74&gt;=5,10,5))))))</f>
        <v>0</v>
      </c>
      <c r="P74" s="8" t="n">
        <f aca="false">IF(H74&gt;=25000,10,IF(H74&gt;=15000,8,IF(H74&gt;=10000,6,IF(H74&gt;=5000,4,2))))</f>
        <v>2</v>
      </c>
      <c r="Q74" s="8" t="n">
        <f aca="false">IF(J74&lt;=30,15,IF(J74&lt;=60,13,IF(J74&lt;=90,11,IF(J74&lt;=120,9,IF(J74&lt;=180,6,3)))))</f>
        <v>3</v>
      </c>
      <c r="R74" s="9" t="n">
        <f aca="false">IF(K74=0,0,L74+M74+N74+O74+P74+Q74)</f>
        <v>0</v>
      </c>
      <c r="S74" s="8" t="str">
        <f aca="false">IF(K74=0,"Need Hex Data",IF(R74&gt;=75,"Tier 1",IF(R74&gt;=55,"Tier 2",IF(R74&gt;=35,"Tier 3","Below Threshold"))))</f>
        <v>Need Hex Data</v>
      </c>
    </row>
    <row r="75" customFormat="false" ht="15" hidden="false" customHeight="false" outlineLevel="0" collapsed="false">
      <c r="A75" s="4" t="s">
        <v>154</v>
      </c>
      <c r="B75" s="4" t="s">
        <v>33</v>
      </c>
      <c r="C75" s="4" t="s">
        <v>36</v>
      </c>
      <c r="D75" s="4" t="n">
        <v>20</v>
      </c>
      <c r="E75" s="4" t="n">
        <v>18</v>
      </c>
      <c r="F75" s="5" t="n">
        <f aca="false">IF(D75&gt;0,E75/D75,0)</f>
        <v>0.9</v>
      </c>
      <c r="G75" s="4" t="n">
        <v>17</v>
      </c>
      <c r="H75" s="6" t="n">
        <v>4308</v>
      </c>
      <c r="I75" s="4" t="s">
        <v>155</v>
      </c>
      <c r="J75" s="4" t="n">
        <v>315</v>
      </c>
      <c r="K75" s="7" t="n">
        <v>0</v>
      </c>
      <c r="L75" s="8" t="n">
        <f aca="false">IF(B75="Named User",7,IF(B75="Named User (Chargeback)",4,3))</f>
        <v>7</v>
      </c>
      <c r="M75" s="8" t="n">
        <f aca="false">IF(C75="Extra Green",25,IF(C75="Green",20,IF(C75="Yellow",8,IF(C75="Red",3,0))))</f>
        <v>20</v>
      </c>
      <c r="N75" s="8" t="n">
        <f aca="false">IF(F75&gt;=1,18,IF(F75&gt;=0.95,16,IF(F75&gt;=0.9,14,IF(F75&gt;=0.8,10,IF(F75&gt;=0.7,6,2)))))</f>
        <v>14</v>
      </c>
      <c r="O75" s="8" t="n">
        <f aca="false">IF(K75=0,0,IF(K75&gt;=50,25,IF(K75&gt;=30,22,IF(K75&gt;=20,18,IF(K75&gt;=10,14,IF(K75&gt;=5,10,5))))))</f>
        <v>0</v>
      </c>
      <c r="P75" s="8" t="n">
        <f aca="false">IF(H75&gt;=25000,10,IF(H75&gt;=15000,8,IF(H75&gt;=10000,6,IF(H75&gt;=5000,4,2))))</f>
        <v>2</v>
      </c>
      <c r="Q75" s="8" t="n">
        <f aca="false">IF(J75&lt;=30,15,IF(J75&lt;=60,13,IF(J75&lt;=90,11,IF(J75&lt;=120,9,IF(J75&lt;=180,6,3)))))</f>
        <v>3</v>
      </c>
      <c r="R75" s="9" t="n">
        <f aca="false">IF(K75=0,0,L75+M75+N75+O75+P75+Q75)</f>
        <v>0</v>
      </c>
      <c r="S75" s="8" t="str">
        <f aca="false">IF(K75=0,"Need Hex Data",IF(R75&gt;=75,"Tier 1",IF(R75&gt;=55,"Tier 2",IF(R75&gt;=35,"Tier 3","Below Threshold"))))</f>
        <v>Need Hex Data</v>
      </c>
    </row>
    <row r="76" customFormat="false" ht="15" hidden="false" customHeight="false" outlineLevel="0" collapsed="false">
      <c r="A76" s="4" t="s">
        <v>156</v>
      </c>
      <c r="B76" s="4" t="s">
        <v>33</v>
      </c>
      <c r="C76" s="4" t="s">
        <v>36</v>
      </c>
      <c r="D76" s="4" t="n">
        <v>37</v>
      </c>
      <c r="E76" s="4" t="n">
        <v>35</v>
      </c>
      <c r="F76" s="5" t="n">
        <f aca="false">IF(D76&gt;0,E76/D76,0)</f>
        <v>0.945945945945946</v>
      </c>
      <c r="G76" s="4" t="n">
        <v>28</v>
      </c>
      <c r="H76" s="6" t="n">
        <v>7969.8</v>
      </c>
      <c r="I76" s="4" t="s">
        <v>157</v>
      </c>
      <c r="J76" s="4" t="n">
        <v>321</v>
      </c>
      <c r="K76" s="7" t="n">
        <v>0</v>
      </c>
      <c r="L76" s="8" t="n">
        <f aca="false">IF(B76="Named User",7,IF(B76="Named User (Chargeback)",4,3))</f>
        <v>7</v>
      </c>
      <c r="M76" s="8" t="n">
        <f aca="false">IF(C76="Extra Green",25,IF(C76="Green",20,IF(C76="Yellow",8,IF(C76="Red",3,0))))</f>
        <v>20</v>
      </c>
      <c r="N76" s="8" t="n">
        <f aca="false">IF(F76&gt;=1,18,IF(F76&gt;=0.95,16,IF(F76&gt;=0.9,14,IF(F76&gt;=0.8,10,IF(F76&gt;=0.7,6,2)))))</f>
        <v>14</v>
      </c>
      <c r="O76" s="8" t="n">
        <f aca="false">IF(K76=0,0,IF(K76&gt;=50,25,IF(K76&gt;=30,22,IF(K76&gt;=20,18,IF(K76&gt;=10,14,IF(K76&gt;=5,10,5))))))</f>
        <v>0</v>
      </c>
      <c r="P76" s="8" t="n">
        <f aca="false">IF(H76&gt;=25000,10,IF(H76&gt;=15000,8,IF(H76&gt;=10000,6,IF(H76&gt;=5000,4,2))))</f>
        <v>4</v>
      </c>
      <c r="Q76" s="8" t="n">
        <f aca="false">IF(J76&lt;=30,15,IF(J76&lt;=60,13,IF(J76&lt;=90,11,IF(J76&lt;=120,9,IF(J76&lt;=180,6,3)))))</f>
        <v>3</v>
      </c>
      <c r="R76" s="9" t="n">
        <f aca="false">IF(K76=0,0,L76+M76+N76+O76+P76+Q76)</f>
        <v>0</v>
      </c>
      <c r="S76" s="8" t="str">
        <f aca="false">IF(K76=0,"Need Hex Data",IF(R76&gt;=75,"Tier 1",IF(R76&gt;=55,"Tier 2",IF(R76&gt;=35,"Tier 3","Below Threshold"))))</f>
        <v>Need Hex Data</v>
      </c>
    </row>
    <row r="77" customFormat="false" ht="15" hidden="false" customHeight="false" outlineLevel="0" collapsed="false">
      <c r="A77" s="4" t="s">
        <v>158</v>
      </c>
      <c r="B77" s="4" t="s">
        <v>22</v>
      </c>
      <c r="C77" s="4" t="s">
        <v>43</v>
      </c>
      <c r="D77" s="4" t="n">
        <v>22</v>
      </c>
      <c r="E77" s="4" t="n">
        <v>22</v>
      </c>
      <c r="F77" s="5" t="n">
        <f aca="false">IF(D77&gt;0,E77/D77,0)</f>
        <v>1</v>
      </c>
      <c r="G77" s="4" t="n">
        <v>20</v>
      </c>
      <c r="H77" s="6" t="n">
        <v>4738.8</v>
      </c>
      <c r="I77" s="4" t="s">
        <v>159</v>
      </c>
      <c r="J77" s="4" t="n">
        <v>324</v>
      </c>
      <c r="K77" s="7" t="n">
        <v>0</v>
      </c>
      <c r="L77" s="8" t="n">
        <f aca="false">IF(B77="Named User",7,IF(B77="Named User (Chargeback)",4,3))</f>
        <v>3</v>
      </c>
      <c r="M77" s="8" t="n">
        <f aca="false">IF(C77="Extra Green",25,IF(C77="Green",20,IF(C77="Yellow",8,IF(C77="Red",3,0))))</f>
        <v>8</v>
      </c>
      <c r="N77" s="8" t="n">
        <f aca="false">IF(F77&gt;=1,18,IF(F77&gt;=0.95,16,IF(F77&gt;=0.9,14,IF(F77&gt;=0.8,10,IF(F77&gt;=0.7,6,2)))))</f>
        <v>18</v>
      </c>
      <c r="O77" s="8" t="n">
        <f aca="false">IF(K77=0,0,IF(K77&gt;=50,25,IF(K77&gt;=30,22,IF(K77&gt;=20,18,IF(K77&gt;=10,14,IF(K77&gt;=5,10,5))))))</f>
        <v>0</v>
      </c>
      <c r="P77" s="8" t="n">
        <f aca="false">IF(H77&gt;=25000,10,IF(H77&gt;=15000,8,IF(H77&gt;=10000,6,IF(H77&gt;=5000,4,2))))</f>
        <v>2</v>
      </c>
      <c r="Q77" s="8" t="n">
        <f aca="false">IF(J77&lt;=30,15,IF(J77&lt;=60,13,IF(J77&lt;=90,11,IF(J77&lt;=120,9,IF(J77&lt;=180,6,3)))))</f>
        <v>3</v>
      </c>
      <c r="R77" s="9" t="n">
        <f aca="false">IF(K77=0,0,L77+M77+N77+O77+P77+Q77)</f>
        <v>0</v>
      </c>
      <c r="S77" s="8" t="str">
        <f aca="false">IF(K77=0,"Need Hex Data",IF(R77&gt;=75,"Tier 1",IF(R77&gt;=55,"Tier 2",IF(R77&gt;=35,"Tier 3","Below Threshold"))))</f>
        <v>Need Hex Data</v>
      </c>
    </row>
    <row r="78" customFormat="false" ht="15" hidden="false" customHeight="false" outlineLevel="0" collapsed="false">
      <c r="A78" s="4" t="s">
        <v>160</v>
      </c>
      <c r="B78" s="4" t="s">
        <v>33</v>
      </c>
      <c r="C78" s="4" t="s">
        <v>36</v>
      </c>
      <c r="D78" s="4" t="n">
        <v>20</v>
      </c>
      <c r="E78" s="4" t="n">
        <v>18</v>
      </c>
      <c r="F78" s="5" t="n">
        <f aca="false">IF(D78&gt;0,E78/D78,0)</f>
        <v>0.9</v>
      </c>
      <c r="G78" s="4" t="n">
        <v>15</v>
      </c>
      <c r="H78" s="6" t="n">
        <v>4308</v>
      </c>
      <c r="I78" s="4" t="s">
        <v>161</v>
      </c>
      <c r="J78" s="4" t="n">
        <v>327</v>
      </c>
      <c r="K78" s="7" t="n">
        <v>0</v>
      </c>
      <c r="L78" s="8" t="n">
        <f aca="false">IF(B78="Named User",7,IF(B78="Named User (Chargeback)",4,3))</f>
        <v>7</v>
      </c>
      <c r="M78" s="8" t="n">
        <f aca="false">IF(C78="Extra Green",25,IF(C78="Green",20,IF(C78="Yellow",8,IF(C78="Red",3,0))))</f>
        <v>20</v>
      </c>
      <c r="N78" s="8" t="n">
        <f aca="false">IF(F78&gt;=1,18,IF(F78&gt;=0.95,16,IF(F78&gt;=0.9,14,IF(F78&gt;=0.8,10,IF(F78&gt;=0.7,6,2)))))</f>
        <v>14</v>
      </c>
      <c r="O78" s="8" t="n">
        <f aca="false">IF(K78=0,0,IF(K78&gt;=50,25,IF(K78&gt;=30,22,IF(K78&gt;=20,18,IF(K78&gt;=10,14,IF(K78&gt;=5,10,5))))))</f>
        <v>0</v>
      </c>
      <c r="P78" s="8" t="n">
        <f aca="false">IF(H78&gt;=25000,10,IF(H78&gt;=15000,8,IF(H78&gt;=10000,6,IF(H78&gt;=5000,4,2))))</f>
        <v>2</v>
      </c>
      <c r="Q78" s="8" t="n">
        <f aca="false">IF(J78&lt;=30,15,IF(J78&lt;=60,13,IF(J78&lt;=90,11,IF(J78&lt;=120,9,IF(J78&lt;=180,6,3)))))</f>
        <v>3</v>
      </c>
      <c r="R78" s="9" t="n">
        <f aca="false">IF(K78=0,0,L78+M78+N78+O78+P78+Q78)</f>
        <v>0</v>
      </c>
      <c r="S78" s="8" t="str">
        <f aca="false">IF(K78=0,"Need Hex Data",IF(R78&gt;=75,"Tier 1",IF(R78&gt;=55,"Tier 2",IF(R78&gt;=35,"Tier 3","Below Threshold"))))</f>
        <v>Need Hex Data</v>
      </c>
    </row>
    <row r="79" customFormat="false" ht="15" hidden="false" customHeight="false" outlineLevel="0" collapsed="false">
      <c r="A79" s="4" t="s">
        <v>162</v>
      </c>
      <c r="B79" s="4" t="s">
        <v>30</v>
      </c>
      <c r="C79" s="4" t="s">
        <v>43</v>
      </c>
      <c r="D79" s="4" t="n">
        <v>58</v>
      </c>
      <c r="E79" s="4" t="n">
        <v>53</v>
      </c>
      <c r="F79" s="5" t="n">
        <f aca="false">IF(D79&gt;0,E79/D79,0)</f>
        <v>0.913793103448276</v>
      </c>
      <c r="G79" s="4" t="n">
        <v>49</v>
      </c>
      <c r="H79" s="6" t="n">
        <v>11707.8</v>
      </c>
      <c r="I79" s="4" t="s">
        <v>163</v>
      </c>
      <c r="J79" s="4" t="n">
        <v>338</v>
      </c>
      <c r="K79" s="7" t="n">
        <v>0</v>
      </c>
      <c r="L79" s="8" t="n">
        <f aca="false">IF(B79="Named User",7,IF(B79="Named User (Chargeback)",4,3))</f>
        <v>4</v>
      </c>
      <c r="M79" s="8" t="n">
        <f aca="false">IF(C79="Extra Green",25,IF(C79="Green",20,IF(C79="Yellow",8,IF(C79="Red",3,0))))</f>
        <v>8</v>
      </c>
      <c r="N79" s="8" t="n">
        <f aca="false">IF(F79&gt;=1,18,IF(F79&gt;=0.95,16,IF(F79&gt;=0.9,14,IF(F79&gt;=0.8,10,IF(F79&gt;=0.7,6,2)))))</f>
        <v>14</v>
      </c>
      <c r="O79" s="8" t="n">
        <f aca="false">IF(K79=0,0,IF(K79&gt;=50,25,IF(K79&gt;=30,22,IF(K79&gt;=20,18,IF(K79&gt;=10,14,IF(K79&gt;=5,10,5))))))</f>
        <v>0</v>
      </c>
      <c r="P79" s="8" t="n">
        <f aca="false">IF(H79&gt;=25000,10,IF(H79&gt;=15000,8,IF(H79&gt;=10000,6,IF(H79&gt;=5000,4,2))))</f>
        <v>6</v>
      </c>
      <c r="Q79" s="8" t="n">
        <f aca="false">IF(J79&lt;=30,15,IF(J79&lt;=60,13,IF(J79&lt;=90,11,IF(J79&lt;=120,9,IF(J79&lt;=180,6,3)))))</f>
        <v>3</v>
      </c>
      <c r="R79" s="9" t="n">
        <f aca="false">IF(K79=0,0,L79+M79+N79+O79+P79+Q79)</f>
        <v>0</v>
      </c>
      <c r="S79" s="8" t="str">
        <f aca="false">IF(K79=0,"Need Hex Data",IF(R79&gt;=75,"Tier 1",IF(R79&gt;=55,"Tier 2",IF(R79&gt;=35,"Tier 3","Below Threshold"))))</f>
        <v>Need Hex Data</v>
      </c>
    </row>
    <row r="80" customFormat="false" ht="15" hidden="false" customHeight="false" outlineLevel="0" collapsed="false">
      <c r="A80" s="4" t="s">
        <v>164</v>
      </c>
      <c r="B80" s="4" t="s">
        <v>33</v>
      </c>
      <c r="C80" s="4" t="s">
        <v>23</v>
      </c>
      <c r="D80" s="4" t="n">
        <v>26</v>
      </c>
      <c r="E80" s="4" t="n">
        <v>22</v>
      </c>
      <c r="F80" s="5" t="n">
        <f aca="false">IF(D80&gt;0,E80/D80,0)</f>
        <v>0.846153846153846</v>
      </c>
      <c r="G80" s="4" t="n">
        <v>4</v>
      </c>
      <c r="H80" s="6" t="n">
        <v>5385</v>
      </c>
      <c r="I80" s="4" t="s">
        <v>165</v>
      </c>
      <c r="J80" s="4" t="n">
        <v>339</v>
      </c>
      <c r="K80" s="7" t="n">
        <v>0</v>
      </c>
      <c r="L80" s="8" t="n">
        <f aca="false">IF(B80="Named User",7,IF(B80="Named User (Chargeback)",4,3))</f>
        <v>7</v>
      </c>
      <c r="M80" s="8" t="n">
        <f aca="false">IF(C80="Extra Green",25,IF(C80="Green",20,IF(C80="Yellow",8,IF(C80="Red",3,0))))</f>
        <v>3</v>
      </c>
      <c r="N80" s="8" t="n">
        <f aca="false">IF(F80&gt;=1,18,IF(F80&gt;=0.95,16,IF(F80&gt;=0.9,14,IF(F80&gt;=0.8,10,IF(F80&gt;=0.7,6,2)))))</f>
        <v>10</v>
      </c>
      <c r="O80" s="8" t="n">
        <f aca="false">IF(K80=0,0,IF(K80&gt;=50,25,IF(K80&gt;=30,22,IF(K80&gt;=20,18,IF(K80&gt;=10,14,IF(K80&gt;=5,10,5))))))</f>
        <v>0</v>
      </c>
      <c r="P80" s="8" t="n">
        <f aca="false">IF(H80&gt;=25000,10,IF(H80&gt;=15000,8,IF(H80&gt;=10000,6,IF(H80&gt;=5000,4,2))))</f>
        <v>4</v>
      </c>
      <c r="Q80" s="8" t="n">
        <f aca="false">IF(J80&lt;=30,15,IF(J80&lt;=60,13,IF(J80&lt;=90,11,IF(J80&lt;=120,9,IF(J80&lt;=180,6,3)))))</f>
        <v>3</v>
      </c>
      <c r="R80" s="9" t="n">
        <f aca="false">IF(K80=0,0,L80+M80+N80+O80+P80+Q80)</f>
        <v>0</v>
      </c>
      <c r="S80" s="8" t="str">
        <f aca="false">IF(K80=0,"Need Hex Data",IF(R80&gt;=75,"Tier 1",IF(R80&gt;=55,"Tier 2",IF(R80&gt;=35,"Tier 3","Below Threshold"))))</f>
        <v>Need Hex Data</v>
      </c>
    </row>
    <row r="81" customFormat="false" ht="15" hidden="false" customHeight="false" outlineLevel="0" collapsed="false">
      <c r="A81" s="4" t="s">
        <v>166</v>
      </c>
      <c r="B81" s="4" t="s">
        <v>33</v>
      </c>
      <c r="C81" s="4" t="s">
        <v>43</v>
      </c>
      <c r="D81" s="4" t="n">
        <v>20</v>
      </c>
      <c r="E81" s="4" t="n">
        <v>16</v>
      </c>
      <c r="F81" s="5" t="n">
        <f aca="false">IF(D81&gt;0,E81/D81,0)</f>
        <v>0.8</v>
      </c>
      <c r="G81" s="4" t="n">
        <v>12</v>
      </c>
      <c r="H81" s="6" t="n">
        <v>4308</v>
      </c>
      <c r="I81" s="4" t="s">
        <v>167</v>
      </c>
      <c r="J81" s="4" t="n">
        <v>343</v>
      </c>
      <c r="K81" s="7" t="n">
        <v>0</v>
      </c>
      <c r="L81" s="8" t="n">
        <f aca="false">IF(B81="Named User",7,IF(B81="Named User (Chargeback)",4,3))</f>
        <v>7</v>
      </c>
      <c r="M81" s="8" t="n">
        <f aca="false">IF(C81="Extra Green",25,IF(C81="Green",20,IF(C81="Yellow",8,IF(C81="Red",3,0))))</f>
        <v>8</v>
      </c>
      <c r="N81" s="8" t="n">
        <f aca="false">IF(F81&gt;=1,18,IF(F81&gt;=0.95,16,IF(F81&gt;=0.9,14,IF(F81&gt;=0.8,10,IF(F81&gt;=0.7,6,2)))))</f>
        <v>10</v>
      </c>
      <c r="O81" s="8" t="n">
        <f aca="false">IF(K81=0,0,IF(K81&gt;=50,25,IF(K81&gt;=30,22,IF(K81&gt;=20,18,IF(K81&gt;=10,14,IF(K81&gt;=5,10,5))))))</f>
        <v>0</v>
      </c>
      <c r="P81" s="8" t="n">
        <f aca="false">IF(H81&gt;=25000,10,IF(H81&gt;=15000,8,IF(H81&gt;=10000,6,IF(H81&gt;=5000,4,2))))</f>
        <v>2</v>
      </c>
      <c r="Q81" s="8" t="n">
        <f aca="false">IF(J81&lt;=30,15,IF(J81&lt;=60,13,IF(J81&lt;=90,11,IF(J81&lt;=120,9,IF(J81&lt;=180,6,3)))))</f>
        <v>3</v>
      </c>
      <c r="R81" s="9" t="n">
        <f aca="false">IF(K81=0,0,L81+M81+N81+O81+P81+Q81)</f>
        <v>0</v>
      </c>
      <c r="S81" s="8" t="str">
        <f aca="false">IF(K81=0,"Need Hex Data",IF(R81&gt;=75,"Tier 1",IF(R81&gt;=55,"Tier 2",IF(R81&gt;=35,"Tier 3","Below Threshold"))))</f>
        <v>Need Hex Data</v>
      </c>
    </row>
    <row r="82" customFormat="false" ht="15" hidden="false" customHeight="false" outlineLevel="0" collapsed="false">
      <c r="A82" s="4" t="s">
        <v>168</v>
      </c>
      <c r="B82" s="4" t="s">
        <v>22</v>
      </c>
      <c r="C82" s="4" t="s">
        <v>23</v>
      </c>
      <c r="D82" s="4" t="n">
        <v>30</v>
      </c>
      <c r="E82" s="4" t="n">
        <v>19</v>
      </c>
      <c r="F82" s="5" t="n">
        <f aca="false">IF(D82&gt;0,E82/D82,0)</f>
        <v>0.633333333333333</v>
      </c>
      <c r="G82" s="4" t="n">
        <v>13</v>
      </c>
      <c r="H82" s="6" t="n">
        <v>6462</v>
      </c>
      <c r="I82" s="4" t="s">
        <v>167</v>
      </c>
      <c r="J82" s="4" t="n">
        <v>343</v>
      </c>
      <c r="K82" s="7" t="n">
        <v>0</v>
      </c>
      <c r="L82" s="8" t="n">
        <f aca="false">IF(B82="Named User",7,IF(B82="Named User (Chargeback)",4,3))</f>
        <v>3</v>
      </c>
      <c r="M82" s="8" t="n">
        <f aca="false">IF(C82="Extra Green",25,IF(C82="Green",20,IF(C82="Yellow",8,IF(C82="Red",3,0))))</f>
        <v>3</v>
      </c>
      <c r="N82" s="8" t="n">
        <f aca="false">IF(F82&gt;=1,18,IF(F82&gt;=0.95,16,IF(F82&gt;=0.9,14,IF(F82&gt;=0.8,10,IF(F82&gt;=0.7,6,2)))))</f>
        <v>2</v>
      </c>
      <c r="O82" s="8" t="n">
        <f aca="false">IF(K82=0,0,IF(K82&gt;=50,25,IF(K82&gt;=30,22,IF(K82&gt;=20,18,IF(K82&gt;=10,14,IF(K82&gt;=5,10,5))))))</f>
        <v>0</v>
      </c>
      <c r="P82" s="8" t="n">
        <f aca="false">IF(H82&gt;=25000,10,IF(H82&gt;=15000,8,IF(H82&gt;=10000,6,IF(H82&gt;=5000,4,2))))</f>
        <v>4</v>
      </c>
      <c r="Q82" s="8" t="n">
        <f aca="false">IF(J82&lt;=30,15,IF(J82&lt;=60,13,IF(J82&lt;=90,11,IF(J82&lt;=120,9,IF(J82&lt;=180,6,3)))))</f>
        <v>3</v>
      </c>
      <c r="R82" s="9" t="n">
        <f aca="false">IF(K82=0,0,L82+M82+N82+O82+P82+Q82)</f>
        <v>0</v>
      </c>
      <c r="S82" s="8" t="str">
        <f aca="false">IF(K82=0,"Need Hex Data",IF(R82&gt;=75,"Tier 1",IF(R82&gt;=55,"Tier 2",IF(R82&gt;=35,"Tier 3","Below Threshold"))))</f>
        <v>Need Hex Data</v>
      </c>
    </row>
    <row r="83" customFormat="false" ht="15" hidden="false" customHeight="false" outlineLevel="0" collapsed="false">
      <c r="A83" s="4" t="s">
        <v>169</v>
      </c>
      <c r="B83" s="4" t="s">
        <v>33</v>
      </c>
      <c r="C83" s="4" t="s">
        <v>23</v>
      </c>
      <c r="D83" s="4" t="n">
        <v>20</v>
      </c>
      <c r="E83" s="4" t="n">
        <v>4</v>
      </c>
      <c r="F83" s="5" t="n">
        <f aca="false">IF(D83&gt;0,E83/D83,0)</f>
        <v>0.2</v>
      </c>
      <c r="G83" s="4" t="n">
        <v>4</v>
      </c>
      <c r="H83" s="6" t="n">
        <v>4308</v>
      </c>
      <c r="I83" s="4" t="s">
        <v>170</v>
      </c>
      <c r="J83" s="4" t="n">
        <v>349</v>
      </c>
      <c r="K83" s="7" t="n">
        <v>0</v>
      </c>
      <c r="L83" s="8" t="n">
        <f aca="false">IF(B83="Named User",7,IF(B83="Named User (Chargeback)",4,3))</f>
        <v>7</v>
      </c>
      <c r="M83" s="8" t="n">
        <f aca="false">IF(C83="Extra Green",25,IF(C83="Green",20,IF(C83="Yellow",8,IF(C83="Red",3,0))))</f>
        <v>3</v>
      </c>
      <c r="N83" s="8" t="n">
        <f aca="false">IF(F83&gt;=1,18,IF(F83&gt;=0.95,16,IF(F83&gt;=0.9,14,IF(F83&gt;=0.8,10,IF(F83&gt;=0.7,6,2)))))</f>
        <v>2</v>
      </c>
      <c r="O83" s="8" t="n">
        <f aca="false">IF(K83=0,0,IF(K83&gt;=50,25,IF(K83&gt;=30,22,IF(K83&gt;=20,18,IF(K83&gt;=10,14,IF(K83&gt;=5,10,5))))))</f>
        <v>0</v>
      </c>
      <c r="P83" s="8" t="n">
        <f aca="false">IF(H83&gt;=25000,10,IF(H83&gt;=15000,8,IF(H83&gt;=10000,6,IF(H83&gt;=5000,4,2))))</f>
        <v>2</v>
      </c>
      <c r="Q83" s="8" t="n">
        <f aca="false">IF(J83&lt;=30,15,IF(J83&lt;=60,13,IF(J83&lt;=90,11,IF(J83&lt;=120,9,IF(J83&lt;=180,6,3)))))</f>
        <v>3</v>
      </c>
      <c r="R83" s="9" t="n">
        <f aca="false">IF(K83=0,0,L83+M83+N83+O83+P83+Q83)</f>
        <v>0</v>
      </c>
      <c r="S83" s="8" t="str">
        <f aca="false">IF(K83=0,"Need Hex Data",IF(R83&gt;=75,"Tier 1",IF(R83&gt;=55,"Tier 2",IF(R83&gt;=35,"Tier 3","Below Threshold"))))</f>
        <v>Need Hex Data</v>
      </c>
    </row>
    <row r="84" customFormat="false" ht="15" hidden="false" customHeight="false" outlineLevel="0" collapsed="false">
      <c r="A84" s="4" t="s">
        <v>171</v>
      </c>
      <c r="B84" s="4" t="s">
        <v>33</v>
      </c>
      <c r="C84" s="4" t="s">
        <v>43</v>
      </c>
      <c r="D84" s="4" t="n">
        <v>25</v>
      </c>
      <c r="E84" s="4" t="n">
        <v>14</v>
      </c>
      <c r="F84" s="5" t="n">
        <f aca="false">IF(D84&gt;0,E84/D84,0)</f>
        <v>0.56</v>
      </c>
      <c r="G84" s="4" t="n">
        <v>18</v>
      </c>
      <c r="H84" s="6" t="n">
        <v>5385</v>
      </c>
      <c r="I84" s="4" t="s">
        <v>170</v>
      </c>
      <c r="J84" s="4" t="n">
        <v>349</v>
      </c>
      <c r="K84" s="7" t="n">
        <v>0</v>
      </c>
      <c r="L84" s="8" t="n">
        <f aca="false">IF(B84="Named User",7,IF(B84="Named User (Chargeback)",4,3))</f>
        <v>7</v>
      </c>
      <c r="M84" s="8" t="n">
        <f aca="false">IF(C84="Extra Green",25,IF(C84="Green",20,IF(C84="Yellow",8,IF(C84="Red",3,0))))</f>
        <v>8</v>
      </c>
      <c r="N84" s="8" t="n">
        <f aca="false">IF(F84&gt;=1,18,IF(F84&gt;=0.95,16,IF(F84&gt;=0.9,14,IF(F84&gt;=0.8,10,IF(F84&gt;=0.7,6,2)))))</f>
        <v>2</v>
      </c>
      <c r="O84" s="8" t="n">
        <f aca="false">IF(K84=0,0,IF(K84&gt;=50,25,IF(K84&gt;=30,22,IF(K84&gt;=20,18,IF(K84&gt;=10,14,IF(K84&gt;=5,10,5))))))</f>
        <v>0</v>
      </c>
      <c r="P84" s="8" t="n">
        <f aca="false">IF(H84&gt;=25000,10,IF(H84&gt;=15000,8,IF(H84&gt;=10000,6,IF(H84&gt;=5000,4,2))))</f>
        <v>4</v>
      </c>
      <c r="Q84" s="8" t="n">
        <f aca="false">IF(J84&lt;=30,15,IF(J84&lt;=60,13,IF(J84&lt;=90,11,IF(J84&lt;=120,9,IF(J84&lt;=180,6,3)))))</f>
        <v>3</v>
      </c>
      <c r="R84" s="9" t="n">
        <f aca="false">IF(K84=0,0,L84+M84+N84+O84+P84+Q84)</f>
        <v>0</v>
      </c>
      <c r="S84" s="8" t="str">
        <f aca="false">IF(K84=0,"Need Hex Data",IF(R84&gt;=75,"Tier 1",IF(R84&gt;=55,"Tier 2",IF(R84&gt;=35,"Tier 3","Below Threshold"))))</f>
        <v>Need Hex Data</v>
      </c>
    </row>
    <row r="85" customFormat="false" ht="15" hidden="false" customHeight="false" outlineLevel="0" collapsed="false">
      <c r="A85" s="4" t="s">
        <v>172</v>
      </c>
      <c r="B85" s="4" t="s">
        <v>33</v>
      </c>
      <c r="C85" s="4" t="s">
        <v>43</v>
      </c>
      <c r="D85" s="4" t="n">
        <v>21</v>
      </c>
      <c r="E85" s="4" t="n">
        <v>18</v>
      </c>
      <c r="F85" s="5" t="n">
        <f aca="false">IF(D85&gt;0,E85/D85,0)</f>
        <v>0.857142857142857</v>
      </c>
      <c r="G85" s="4" t="n">
        <v>11</v>
      </c>
      <c r="H85" s="6" t="n">
        <v>4308</v>
      </c>
      <c r="I85" s="4" t="s">
        <v>173</v>
      </c>
      <c r="J85" s="4" t="n">
        <v>350</v>
      </c>
      <c r="K85" s="7" t="n">
        <v>0</v>
      </c>
      <c r="L85" s="8" t="n">
        <f aca="false">IF(B85="Named User",7,IF(B85="Named User (Chargeback)",4,3))</f>
        <v>7</v>
      </c>
      <c r="M85" s="8" t="n">
        <f aca="false">IF(C85="Extra Green",25,IF(C85="Green",20,IF(C85="Yellow",8,IF(C85="Red",3,0))))</f>
        <v>8</v>
      </c>
      <c r="N85" s="8" t="n">
        <f aca="false">IF(F85&gt;=1,18,IF(F85&gt;=0.95,16,IF(F85&gt;=0.9,14,IF(F85&gt;=0.8,10,IF(F85&gt;=0.7,6,2)))))</f>
        <v>10</v>
      </c>
      <c r="O85" s="8" t="n">
        <f aca="false">IF(K85=0,0,IF(K85&gt;=50,25,IF(K85&gt;=30,22,IF(K85&gt;=20,18,IF(K85&gt;=10,14,IF(K85&gt;=5,10,5))))))</f>
        <v>0</v>
      </c>
      <c r="P85" s="8" t="n">
        <f aca="false">IF(H85&gt;=25000,10,IF(H85&gt;=15000,8,IF(H85&gt;=10000,6,IF(H85&gt;=5000,4,2))))</f>
        <v>2</v>
      </c>
      <c r="Q85" s="8" t="n">
        <f aca="false">IF(J85&lt;=30,15,IF(J85&lt;=60,13,IF(J85&lt;=90,11,IF(J85&lt;=120,9,IF(J85&lt;=180,6,3)))))</f>
        <v>3</v>
      </c>
      <c r="R85" s="9" t="n">
        <f aca="false">IF(K85=0,0,L85+M85+N85+O85+P85+Q85)</f>
        <v>0</v>
      </c>
      <c r="S85" s="8" t="str">
        <f aca="false">IF(K85=0,"Need Hex Data",IF(R85&gt;=75,"Tier 1",IF(R85&gt;=55,"Tier 2",IF(R85&gt;=35,"Tier 3","Below Threshold"))))</f>
        <v>Need Hex Data</v>
      </c>
    </row>
    <row r="86" customFormat="false" ht="15" hidden="false" customHeight="false" outlineLevel="0" collapsed="false">
      <c r="A86" s="4" t="s">
        <v>174</v>
      </c>
      <c r="B86" s="4" t="s">
        <v>22</v>
      </c>
      <c r="C86" s="4" t="s">
        <v>23</v>
      </c>
      <c r="D86" s="4" t="n">
        <v>40</v>
      </c>
      <c r="E86" s="4" t="n">
        <v>13</v>
      </c>
      <c r="F86" s="5" t="n">
        <f aca="false">IF(D86&gt;0,E86/D86,0)</f>
        <v>0.325</v>
      </c>
      <c r="G86" s="4" t="n">
        <v>11</v>
      </c>
      <c r="H86" s="6" t="n">
        <v>6462</v>
      </c>
      <c r="I86" s="4" t="s">
        <v>175</v>
      </c>
      <c r="J86" s="4" t="n">
        <v>352</v>
      </c>
      <c r="K86" s="7" t="n">
        <v>0</v>
      </c>
      <c r="L86" s="8" t="n">
        <f aca="false">IF(B86="Named User",7,IF(B86="Named User (Chargeback)",4,3))</f>
        <v>3</v>
      </c>
      <c r="M86" s="8" t="n">
        <f aca="false">IF(C86="Extra Green",25,IF(C86="Green",20,IF(C86="Yellow",8,IF(C86="Red",3,0))))</f>
        <v>3</v>
      </c>
      <c r="N86" s="8" t="n">
        <f aca="false">IF(F86&gt;=1,18,IF(F86&gt;=0.95,16,IF(F86&gt;=0.9,14,IF(F86&gt;=0.8,10,IF(F86&gt;=0.7,6,2)))))</f>
        <v>2</v>
      </c>
      <c r="O86" s="8" t="n">
        <f aca="false">IF(K86=0,0,IF(K86&gt;=50,25,IF(K86&gt;=30,22,IF(K86&gt;=20,18,IF(K86&gt;=10,14,IF(K86&gt;=5,10,5))))))</f>
        <v>0</v>
      </c>
      <c r="P86" s="8" t="n">
        <f aca="false">IF(H86&gt;=25000,10,IF(H86&gt;=15000,8,IF(H86&gt;=10000,6,IF(H86&gt;=5000,4,2))))</f>
        <v>4</v>
      </c>
      <c r="Q86" s="8" t="n">
        <f aca="false">IF(J86&lt;=30,15,IF(J86&lt;=60,13,IF(J86&lt;=90,11,IF(J86&lt;=120,9,IF(J86&lt;=180,6,3)))))</f>
        <v>3</v>
      </c>
      <c r="R86" s="9" t="n">
        <f aca="false">IF(K86=0,0,L86+M86+N86+O86+P86+Q86)</f>
        <v>0</v>
      </c>
      <c r="S86" s="8" t="str">
        <f aca="false">IF(K86=0,"Need Hex Data",IF(R86&gt;=75,"Tier 1",IF(R86&gt;=55,"Tier 2",IF(R86&gt;=35,"Tier 3","Below Threshold"))))</f>
        <v>Need Hex Data</v>
      </c>
    </row>
    <row r="87" customFormat="false" ht="15" hidden="false" customHeight="false" outlineLevel="0" collapsed="false">
      <c r="A87" s="4" t="s">
        <v>176</v>
      </c>
      <c r="B87" s="4" t="s">
        <v>33</v>
      </c>
      <c r="C87" s="4" t="s">
        <v>43</v>
      </c>
      <c r="D87" s="4" t="n">
        <v>111</v>
      </c>
      <c r="E87" s="4" t="n">
        <v>94</v>
      </c>
      <c r="F87" s="5" t="n">
        <f aca="false">IF(D87&gt;0,E87/D87,0)</f>
        <v>0.846846846846847</v>
      </c>
      <c r="G87" s="4" t="n">
        <v>71</v>
      </c>
      <c r="H87" s="6" t="n">
        <v>22594</v>
      </c>
      <c r="I87" s="4" t="s">
        <v>175</v>
      </c>
      <c r="J87" s="4" t="n">
        <v>352</v>
      </c>
      <c r="K87" s="7" t="n">
        <v>0</v>
      </c>
      <c r="L87" s="8" t="n">
        <f aca="false">IF(B87="Named User",7,IF(B87="Named User (Chargeback)",4,3))</f>
        <v>7</v>
      </c>
      <c r="M87" s="8" t="n">
        <f aca="false">IF(C87="Extra Green",25,IF(C87="Green",20,IF(C87="Yellow",8,IF(C87="Red",3,0))))</f>
        <v>8</v>
      </c>
      <c r="N87" s="8" t="n">
        <f aca="false">IF(F87&gt;=1,18,IF(F87&gt;=0.95,16,IF(F87&gt;=0.9,14,IF(F87&gt;=0.8,10,IF(F87&gt;=0.7,6,2)))))</f>
        <v>10</v>
      </c>
      <c r="O87" s="8" t="n">
        <f aca="false">IF(K87=0,0,IF(K87&gt;=50,25,IF(K87&gt;=30,22,IF(K87&gt;=20,18,IF(K87&gt;=10,14,IF(K87&gt;=5,10,5))))))</f>
        <v>0</v>
      </c>
      <c r="P87" s="8" t="n">
        <f aca="false">IF(H87&gt;=25000,10,IF(H87&gt;=15000,8,IF(H87&gt;=10000,6,IF(H87&gt;=5000,4,2))))</f>
        <v>8</v>
      </c>
      <c r="Q87" s="8" t="n">
        <f aca="false">IF(J87&lt;=30,15,IF(J87&lt;=60,13,IF(J87&lt;=90,11,IF(J87&lt;=120,9,IF(J87&lt;=180,6,3)))))</f>
        <v>3</v>
      </c>
      <c r="R87" s="9" t="n">
        <f aca="false">IF(K87=0,0,L87+M87+N87+O87+P87+Q87)</f>
        <v>0</v>
      </c>
      <c r="S87" s="8" t="str">
        <f aca="false">IF(K87=0,"Need Hex Data",IF(R87&gt;=75,"Tier 1",IF(R87&gt;=55,"Tier 2",IF(R87&gt;=35,"Tier 3","Below Threshold"))))</f>
        <v>Need Hex Data</v>
      </c>
    </row>
    <row r="88" customFormat="false" ht="15" hidden="false" customHeight="false" outlineLevel="0" collapsed="false">
      <c r="A88" s="4" t="s">
        <v>177</v>
      </c>
      <c r="B88" s="4" t="s">
        <v>22</v>
      </c>
      <c r="C88" s="4" t="s">
        <v>23</v>
      </c>
      <c r="D88" s="4" t="n">
        <v>180</v>
      </c>
      <c r="E88" s="4" t="n">
        <v>141</v>
      </c>
      <c r="F88" s="5" t="n">
        <f aca="false">IF(D88&gt;0,E88/D88,0)</f>
        <v>0.783333333333333</v>
      </c>
      <c r="G88" s="4" t="n">
        <v>77</v>
      </c>
      <c r="H88" s="6" t="n">
        <v>24648</v>
      </c>
      <c r="I88" s="4" t="s">
        <v>175</v>
      </c>
      <c r="J88" s="4" t="n">
        <v>352</v>
      </c>
      <c r="K88" s="7" t="n">
        <v>0</v>
      </c>
      <c r="L88" s="8" t="n">
        <f aca="false">IF(B88="Named User",7,IF(B88="Named User (Chargeback)",4,3))</f>
        <v>3</v>
      </c>
      <c r="M88" s="8" t="n">
        <f aca="false">IF(C88="Extra Green",25,IF(C88="Green",20,IF(C88="Yellow",8,IF(C88="Red",3,0))))</f>
        <v>3</v>
      </c>
      <c r="N88" s="8" t="n">
        <f aca="false">IF(F88&gt;=1,18,IF(F88&gt;=0.95,16,IF(F88&gt;=0.9,14,IF(F88&gt;=0.8,10,IF(F88&gt;=0.7,6,2)))))</f>
        <v>6</v>
      </c>
      <c r="O88" s="8" t="n">
        <f aca="false">IF(K88=0,0,IF(K88&gt;=50,25,IF(K88&gt;=30,22,IF(K88&gt;=20,18,IF(K88&gt;=10,14,IF(K88&gt;=5,10,5))))))</f>
        <v>0</v>
      </c>
      <c r="P88" s="8" t="n">
        <f aca="false">IF(H88&gt;=25000,10,IF(H88&gt;=15000,8,IF(H88&gt;=10000,6,IF(H88&gt;=5000,4,2))))</f>
        <v>8</v>
      </c>
      <c r="Q88" s="8" t="n">
        <f aca="false">IF(J88&lt;=30,15,IF(J88&lt;=60,13,IF(J88&lt;=90,11,IF(J88&lt;=120,9,IF(J88&lt;=180,6,3)))))</f>
        <v>3</v>
      </c>
      <c r="R88" s="9" t="n">
        <f aca="false">IF(K88=0,0,L88+M88+N88+O88+P88+Q88)</f>
        <v>0</v>
      </c>
      <c r="S88" s="8" t="str">
        <f aca="false">IF(K88=0,"Need Hex Data",IF(R88&gt;=75,"Tier 1",IF(R88&gt;=55,"Tier 2",IF(R88&gt;=35,"Tier 3","Below Threshold"))))</f>
        <v>Need Hex Data</v>
      </c>
    </row>
    <row r="89" customFormat="false" ht="15" hidden="false" customHeight="false" outlineLevel="0" collapsed="false">
      <c r="A89" s="4" t="s">
        <v>178</v>
      </c>
      <c r="B89" s="4" t="s">
        <v>33</v>
      </c>
      <c r="C89" s="4" t="s">
        <v>43</v>
      </c>
      <c r="D89" s="4" t="n">
        <v>20</v>
      </c>
      <c r="E89" s="4" t="n">
        <v>19</v>
      </c>
      <c r="F89" s="5" t="n">
        <f aca="false">IF(D89&gt;0,E89/D89,0)</f>
        <v>0.95</v>
      </c>
      <c r="G89" s="4" t="n">
        <v>11</v>
      </c>
      <c r="H89" s="6" t="n">
        <v>4308</v>
      </c>
      <c r="I89" s="4" t="s">
        <v>179</v>
      </c>
      <c r="J89" s="4" t="n">
        <v>356</v>
      </c>
      <c r="K89" s="7" t="n">
        <v>0</v>
      </c>
      <c r="L89" s="8" t="n">
        <f aca="false">IF(B89="Named User",7,IF(B89="Named User (Chargeback)",4,3))</f>
        <v>7</v>
      </c>
      <c r="M89" s="8" t="n">
        <f aca="false">IF(C89="Extra Green",25,IF(C89="Green",20,IF(C89="Yellow",8,IF(C89="Red",3,0))))</f>
        <v>8</v>
      </c>
      <c r="N89" s="8" t="n">
        <f aca="false">IF(F89&gt;=1,18,IF(F89&gt;=0.95,16,IF(F89&gt;=0.9,14,IF(F89&gt;=0.8,10,IF(F89&gt;=0.7,6,2)))))</f>
        <v>16</v>
      </c>
      <c r="O89" s="8" t="n">
        <f aca="false">IF(K89=0,0,IF(K89&gt;=50,25,IF(K89&gt;=30,22,IF(K89&gt;=20,18,IF(K89&gt;=10,14,IF(K89&gt;=5,10,5))))))</f>
        <v>0</v>
      </c>
      <c r="P89" s="8" t="n">
        <f aca="false">IF(H89&gt;=25000,10,IF(H89&gt;=15000,8,IF(H89&gt;=10000,6,IF(H89&gt;=5000,4,2))))</f>
        <v>2</v>
      </c>
      <c r="Q89" s="8" t="n">
        <f aca="false">IF(J89&lt;=30,15,IF(J89&lt;=60,13,IF(J89&lt;=90,11,IF(J89&lt;=120,9,IF(J89&lt;=180,6,3)))))</f>
        <v>3</v>
      </c>
      <c r="R89" s="9" t="n">
        <f aca="false">IF(K89=0,0,L89+M89+N89+O89+P89+Q89)</f>
        <v>0</v>
      </c>
      <c r="S89" s="8" t="str">
        <f aca="false">IF(K89=0,"Need Hex Data",IF(R89&gt;=75,"Tier 1",IF(R89&gt;=55,"Tier 2",IF(R89&gt;=35,"Tier 3","Below Threshold"))))</f>
        <v>Need Hex Data</v>
      </c>
    </row>
    <row r="90" customFormat="false" ht="15" hidden="false" customHeight="false" outlineLevel="0" collapsed="false">
      <c r="A90" s="4" t="s">
        <v>180</v>
      </c>
      <c r="B90" s="4" t="s">
        <v>22</v>
      </c>
      <c r="C90" s="4"/>
      <c r="D90" s="4" t="n">
        <v>26</v>
      </c>
      <c r="E90" s="4" t="n">
        <v>0</v>
      </c>
      <c r="F90" s="5" t="n">
        <f aca="false">IF(D90&gt;0,E90/D90,0)</f>
        <v>0</v>
      </c>
      <c r="G90" s="4" t="n">
        <v>0</v>
      </c>
      <c r="H90" s="6" t="n">
        <v>4308</v>
      </c>
      <c r="I90" s="4" t="s">
        <v>181</v>
      </c>
      <c r="J90" s="4" t="n">
        <v>367</v>
      </c>
      <c r="K90" s="7" t="n">
        <v>0</v>
      </c>
      <c r="L90" s="8" t="n">
        <f aca="false">IF(B90="Named User",7,IF(B90="Named User (Chargeback)",4,3))</f>
        <v>3</v>
      </c>
      <c r="M90" s="8" t="n">
        <f aca="false">IF(C90="Extra Green",25,IF(C90="Green",20,IF(C90="Yellow",8,IF(C90="Red",3,0))))</f>
        <v>0</v>
      </c>
      <c r="N90" s="8" t="n">
        <f aca="false">IF(F90&gt;=1,18,IF(F90&gt;=0.95,16,IF(F90&gt;=0.9,14,IF(F90&gt;=0.8,10,IF(F90&gt;=0.7,6,2)))))</f>
        <v>2</v>
      </c>
      <c r="O90" s="8" t="n">
        <f aca="false">IF(K90=0,0,IF(K90&gt;=50,25,IF(K90&gt;=30,22,IF(K90&gt;=20,18,IF(K90&gt;=10,14,IF(K90&gt;=5,10,5))))))</f>
        <v>0</v>
      </c>
      <c r="P90" s="8" t="n">
        <f aca="false">IF(H90&gt;=25000,10,IF(H90&gt;=15000,8,IF(H90&gt;=10000,6,IF(H90&gt;=5000,4,2))))</f>
        <v>2</v>
      </c>
      <c r="Q90" s="8" t="n">
        <f aca="false">IF(J90&lt;=30,15,IF(J90&lt;=60,13,IF(J90&lt;=90,11,IF(J90&lt;=120,9,IF(J90&lt;=180,6,3)))))</f>
        <v>3</v>
      </c>
      <c r="R90" s="9" t="n">
        <f aca="false">IF(K90=0,0,L90+M90+N90+O90+P90+Q90)</f>
        <v>0</v>
      </c>
      <c r="S90" s="8" t="str">
        <f aca="false">IF(K90=0,"Need Hex Data",IF(R90&gt;=75,"Tier 1",IF(R90&gt;=55,"Tier 2",IF(R90&gt;=35,"Tier 3","Below Threshold"))))</f>
        <v>Need Hex Data</v>
      </c>
    </row>
    <row r="91" customFormat="false" ht="15" hidden="false" customHeight="false" outlineLevel="0" collapsed="false">
      <c r="A91" s="4" t="s">
        <v>182</v>
      </c>
      <c r="B91" s="4" t="s">
        <v>33</v>
      </c>
      <c r="C91" s="4" t="s">
        <v>43</v>
      </c>
      <c r="D91" s="4" t="n">
        <v>51</v>
      </c>
      <c r="E91" s="4" t="n">
        <v>47</v>
      </c>
      <c r="F91" s="5" t="n">
        <f aca="false">IF(D91&gt;0,E91/D91,0)</f>
        <v>0.92156862745098</v>
      </c>
      <c r="G91" s="4" t="n">
        <v>36</v>
      </c>
      <c r="H91" s="6" t="n">
        <v>9908.4</v>
      </c>
      <c r="I91" s="4" t="s">
        <v>183</v>
      </c>
      <c r="J91" s="4" t="n">
        <v>369</v>
      </c>
      <c r="K91" s="7" t="n">
        <v>0</v>
      </c>
      <c r="L91" s="8" t="n">
        <f aca="false">IF(B91="Named User",7,IF(B91="Named User (Chargeback)",4,3))</f>
        <v>7</v>
      </c>
      <c r="M91" s="8" t="n">
        <f aca="false">IF(C91="Extra Green",25,IF(C91="Green",20,IF(C91="Yellow",8,IF(C91="Red",3,0))))</f>
        <v>8</v>
      </c>
      <c r="N91" s="8" t="n">
        <f aca="false">IF(F91&gt;=1,18,IF(F91&gt;=0.95,16,IF(F91&gt;=0.9,14,IF(F91&gt;=0.8,10,IF(F91&gt;=0.7,6,2)))))</f>
        <v>14</v>
      </c>
      <c r="O91" s="8" t="n">
        <f aca="false">IF(K91=0,0,IF(K91&gt;=50,25,IF(K91&gt;=30,22,IF(K91&gt;=20,18,IF(K91&gt;=10,14,IF(K91&gt;=5,10,5))))))</f>
        <v>0</v>
      </c>
      <c r="P91" s="8" t="n">
        <f aca="false">IF(H91&gt;=25000,10,IF(H91&gt;=15000,8,IF(H91&gt;=10000,6,IF(H91&gt;=5000,4,2))))</f>
        <v>4</v>
      </c>
      <c r="Q91" s="8" t="n">
        <f aca="false">IF(J91&lt;=30,15,IF(J91&lt;=60,13,IF(J91&lt;=90,11,IF(J91&lt;=120,9,IF(J91&lt;=180,6,3)))))</f>
        <v>3</v>
      </c>
      <c r="R91" s="9" t="n">
        <f aca="false">IF(K91=0,0,L91+M91+N91+O91+P91+Q91)</f>
        <v>0</v>
      </c>
      <c r="S91" s="8" t="str">
        <f aca="false">IF(K91=0,"Need Hex Data",IF(R91&gt;=75,"Tier 1",IF(R91&gt;=55,"Tier 2",IF(R91&gt;=35,"Tier 3","Below Threshold"))))</f>
        <v>Need Hex Data</v>
      </c>
    </row>
    <row r="92" customFormat="false" ht="15" hidden="false" customHeight="false" outlineLevel="0" collapsed="false">
      <c r="A92" s="4" t="s">
        <v>184</v>
      </c>
      <c r="B92" s="4" t="s">
        <v>33</v>
      </c>
      <c r="C92" s="4" t="s">
        <v>36</v>
      </c>
      <c r="D92" s="4" t="n">
        <v>35</v>
      </c>
      <c r="E92" s="4" t="n">
        <v>34</v>
      </c>
      <c r="F92" s="5" t="n">
        <f aca="false">IF(D92&gt;0,E92/D92,0)</f>
        <v>0.971428571428571</v>
      </c>
      <c r="G92" s="4" t="n">
        <v>28</v>
      </c>
      <c r="H92" s="6" t="n">
        <v>7539</v>
      </c>
      <c r="I92" s="4" t="s">
        <v>183</v>
      </c>
      <c r="J92" s="4" t="n">
        <v>369</v>
      </c>
      <c r="K92" s="7" t="n">
        <v>0</v>
      </c>
      <c r="L92" s="8" t="n">
        <f aca="false">IF(B92="Named User",7,IF(B92="Named User (Chargeback)",4,3))</f>
        <v>7</v>
      </c>
      <c r="M92" s="8" t="n">
        <f aca="false">IF(C92="Extra Green",25,IF(C92="Green",20,IF(C92="Yellow",8,IF(C92="Red",3,0))))</f>
        <v>20</v>
      </c>
      <c r="N92" s="8" t="n">
        <f aca="false">IF(F92&gt;=1,18,IF(F92&gt;=0.95,16,IF(F92&gt;=0.9,14,IF(F92&gt;=0.8,10,IF(F92&gt;=0.7,6,2)))))</f>
        <v>16</v>
      </c>
      <c r="O92" s="8" t="n">
        <f aca="false">IF(K92=0,0,IF(K92&gt;=50,25,IF(K92&gt;=30,22,IF(K92&gt;=20,18,IF(K92&gt;=10,14,IF(K92&gt;=5,10,5))))))</f>
        <v>0</v>
      </c>
      <c r="P92" s="8" t="n">
        <f aca="false">IF(H92&gt;=25000,10,IF(H92&gt;=15000,8,IF(H92&gt;=10000,6,IF(H92&gt;=5000,4,2))))</f>
        <v>4</v>
      </c>
      <c r="Q92" s="8" t="n">
        <f aca="false">IF(J92&lt;=30,15,IF(J92&lt;=60,13,IF(J92&lt;=90,11,IF(J92&lt;=120,9,IF(J92&lt;=180,6,3)))))</f>
        <v>3</v>
      </c>
      <c r="R92" s="9" t="n">
        <f aca="false">IF(K92=0,0,L92+M92+N92+O92+P92+Q92)</f>
        <v>0</v>
      </c>
      <c r="S92" s="8" t="str">
        <f aca="false">IF(K92=0,"Need Hex Data",IF(R92&gt;=75,"Tier 1",IF(R92&gt;=55,"Tier 2",IF(R92&gt;=35,"Tier 3","Below Threshold"))))</f>
        <v>Need Hex Data</v>
      </c>
    </row>
    <row r="93" customFormat="false" ht="15" hidden="false" customHeight="false" outlineLevel="0" collapsed="false">
      <c r="A93" s="4" t="s">
        <v>185</v>
      </c>
      <c r="B93" s="4" t="s">
        <v>33</v>
      </c>
      <c r="C93" s="4" t="s">
        <v>43</v>
      </c>
      <c r="D93" s="4" t="n">
        <v>47</v>
      </c>
      <c r="E93" s="4" t="n">
        <v>41</v>
      </c>
      <c r="F93" s="5" t="n">
        <f aca="false">IF(D93&gt;0,E93/D93,0)</f>
        <v>0.872340425531915</v>
      </c>
      <c r="G93" s="4" t="n">
        <v>27</v>
      </c>
      <c r="H93" s="6" t="n">
        <v>10123.8</v>
      </c>
      <c r="I93" s="4" t="s">
        <v>183</v>
      </c>
      <c r="J93" s="4" t="n">
        <v>369</v>
      </c>
      <c r="K93" s="7" t="n">
        <v>0</v>
      </c>
      <c r="L93" s="8" t="n">
        <f aca="false">IF(B93="Named User",7,IF(B93="Named User (Chargeback)",4,3))</f>
        <v>7</v>
      </c>
      <c r="M93" s="8" t="n">
        <f aca="false">IF(C93="Extra Green",25,IF(C93="Green",20,IF(C93="Yellow",8,IF(C93="Red",3,0))))</f>
        <v>8</v>
      </c>
      <c r="N93" s="8" t="n">
        <f aca="false">IF(F93&gt;=1,18,IF(F93&gt;=0.95,16,IF(F93&gt;=0.9,14,IF(F93&gt;=0.8,10,IF(F93&gt;=0.7,6,2)))))</f>
        <v>10</v>
      </c>
      <c r="O93" s="8" t="n">
        <f aca="false">IF(K93=0,0,IF(K93&gt;=50,25,IF(K93&gt;=30,22,IF(K93&gt;=20,18,IF(K93&gt;=10,14,IF(K93&gt;=5,10,5))))))</f>
        <v>0</v>
      </c>
      <c r="P93" s="8" t="n">
        <f aca="false">IF(H93&gt;=25000,10,IF(H93&gt;=15000,8,IF(H93&gt;=10000,6,IF(H93&gt;=5000,4,2))))</f>
        <v>6</v>
      </c>
      <c r="Q93" s="8" t="n">
        <f aca="false">IF(J93&lt;=30,15,IF(J93&lt;=60,13,IF(J93&lt;=90,11,IF(J93&lt;=120,9,IF(J93&lt;=180,6,3)))))</f>
        <v>3</v>
      </c>
      <c r="R93" s="9" t="n">
        <f aca="false">IF(K93=0,0,L93+M93+N93+O93+P93+Q93)</f>
        <v>0</v>
      </c>
      <c r="S93" s="8" t="str">
        <f aca="false">IF(K93=0,"Need Hex Data",IF(R93&gt;=75,"Tier 1",IF(R93&gt;=55,"Tier 2",IF(R93&gt;=35,"Tier 3","Below Threshold"))))</f>
        <v>Need Hex Data</v>
      </c>
    </row>
    <row r="94" customFormat="false" ht="15" hidden="false" customHeight="false" outlineLevel="0" collapsed="false">
      <c r="A94" s="4" t="s">
        <v>186</v>
      </c>
      <c r="B94" s="4" t="s">
        <v>33</v>
      </c>
      <c r="C94" s="4" t="s">
        <v>36</v>
      </c>
      <c r="D94" s="4" t="n">
        <v>27</v>
      </c>
      <c r="E94" s="4" t="n">
        <v>27</v>
      </c>
      <c r="F94" s="5" t="n">
        <f aca="false">IF(D94&gt;0,E94/D94,0)</f>
        <v>1</v>
      </c>
      <c r="G94" s="4" t="n">
        <v>20</v>
      </c>
      <c r="H94" s="6" t="n">
        <v>5600.4</v>
      </c>
      <c r="I94" s="4" t="s">
        <v>183</v>
      </c>
      <c r="J94" s="4" t="n">
        <v>369</v>
      </c>
      <c r="K94" s="7" t="n">
        <v>0</v>
      </c>
      <c r="L94" s="8" t="n">
        <f aca="false">IF(B94="Named User",7,IF(B94="Named User (Chargeback)",4,3))</f>
        <v>7</v>
      </c>
      <c r="M94" s="8" t="n">
        <f aca="false">IF(C94="Extra Green",25,IF(C94="Green",20,IF(C94="Yellow",8,IF(C94="Red",3,0))))</f>
        <v>20</v>
      </c>
      <c r="N94" s="8" t="n">
        <f aca="false">IF(F94&gt;=1,18,IF(F94&gt;=0.95,16,IF(F94&gt;=0.9,14,IF(F94&gt;=0.8,10,IF(F94&gt;=0.7,6,2)))))</f>
        <v>18</v>
      </c>
      <c r="O94" s="8" t="n">
        <f aca="false">IF(K94=0,0,IF(K94&gt;=50,25,IF(K94&gt;=30,22,IF(K94&gt;=20,18,IF(K94&gt;=10,14,IF(K94&gt;=5,10,5))))))</f>
        <v>0</v>
      </c>
      <c r="P94" s="8" t="n">
        <f aca="false">IF(H94&gt;=25000,10,IF(H94&gt;=15000,8,IF(H94&gt;=10000,6,IF(H94&gt;=5000,4,2))))</f>
        <v>4</v>
      </c>
      <c r="Q94" s="8" t="n">
        <f aca="false">IF(J94&lt;=30,15,IF(J94&lt;=60,13,IF(J94&lt;=90,11,IF(J94&lt;=120,9,IF(J94&lt;=180,6,3)))))</f>
        <v>3</v>
      </c>
      <c r="R94" s="9" t="n">
        <f aca="false">IF(K94=0,0,L94+M94+N94+O94+P94+Q94)</f>
        <v>0</v>
      </c>
      <c r="S94" s="8" t="str">
        <f aca="false">IF(K94=0,"Need Hex Data",IF(R94&gt;=75,"Tier 1",IF(R94&gt;=55,"Tier 2",IF(R94&gt;=35,"Tier 3","Below Threshold"))))</f>
        <v>Need Hex Data</v>
      </c>
    </row>
    <row r="95" customFormat="false" ht="15" hidden="false" customHeight="false" outlineLevel="0" collapsed="false">
      <c r="A95" s="4" t="s">
        <v>187</v>
      </c>
      <c r="B95" s="4" t="s">
        <v>30</v>
      </c>
      <c r="C95" s="4" t="s">
        <v>23</v>
      </c>
      <c r="D95" s="4" t="n">
        <v>34</v>
      </c>
      <c r="E95" s="4" t="n">
        <v>24</v>
      </c>
      <c r="F95" s="5" t="n">
        <f aca="false">IF(D95&gt;0,E95/D95,0)</f>
        <v>0.705882352941177</v>
      </c>
      <c r="G95" s="4" t="n">
        <v>8</v>
      </c>
      <c r="H95" s="6" t="n">
        <v>7323.6</v>
      </c>
      <c r="I95" s="4" t="s">
        <v>188</v>
      </c>
      <c r="J95" s="4" t="n">
        <v>370</v>
      </c>
      <c r="K95" s="7" t="n">
        <v>0</v>
      </c>
      <c r="L95" s="8" t="n">
        <f aca="false">IF(B95="Named User",7,IF(B95="Named User (Chargeback)",4,3))</f>
        <v>4</v>
      </c>
      <c r="M95" s="8" t="n">
        <f aca="false">IF(C95="Extra Green",25,IF(C95="Green",20,IF(C95="Yellow",8,IF(C95="Red",3,0))))</f>
        <v>3</v>
      </c>
      <c r="N95" s="8" t="n">
        <f aca="false">IF(F95&gt;=1,18,IF(F95&gt;=0.95,16,IF(F95&gt;=0.9,14,IF(F95&gt;=0.8,10,IF(F95&gt;=0.7,6,2)))))</f>
        <v>6</v>
      </c>
      <c r="O95" s="8" t="n">
        <f aca="false">IF(K95=0,0,IF(K95&gt;=50,25,IF(K95&gt;=30,22,IF(K95&gt;=20,18,IF(K95&gt;=10,14,IF(K95&gt;=5,10,5))))))</f>
        <v>0</v>
      </c>
      <c r="P95" s="8" t="n">
        <f aca="false">IF(H95&gt;=25000,10,IF(H95&gt;=15000,8,IF(H95&gt;=10000,6,IF(H95&gt;=5000,4,2))))</f>
        <v>4</v>
      </c>
      <c r="Q95" s="8" t="n">
        <f aca="false">IF(J95&lt;=30,15,IF(J95&lt;=60,13,IF(J95&lt;=90,11,IF(J95&lt;=120,9,IF(J95&lt;=180,6,3)))))</f>
        <v>3</v>
      </c>
      <c r="R95" s="9" t="n">
        <f aca="false">IF(K95=0,0,L95+M95+N95+O95+P95+Q95)</f>
        <v>0</v>
      </c>
      <c r="S95" s="8" t="str">
        <f aca="false">IF(K95=0,"Need Hex Data",IF(R95&gt;=75,"Tier 1",IF(R95&gt;=55,"Tier 2",IF(R95&gt;=35,"Tier 3","Below Threshold"))))</f>
        <v>Need Hex Data</v>
      </c>
    </row>
    <row r="96" customFormat="false" ht="15" hidden="false" customHeight="false" outlineLevel="0" collapsed="false">
      <c r="A96" s="4" t="s">
        <v>189</v>
      </c>
      <c r="B96" s="4" t="s">
        <v>33</v>
      </c>
      <c r="C96" s="4"/>
      <c r="D96" s="4" t="n">
        <v>0</v>
      </c>
      <c r="E96" s="4" t="n">
        <v>0</v>
      </c>
      <c r="F96" s="5" t="n">
        <f aca="false">IF(D96&gt;0,E96/D96,0)</f>
        <v>0</v>
      </c>
      <c r="G96" s="4" t="n">
        <v>0</v>
      </c>
      <c r="H96" s="6" t="n">
        <v>5330</v>
      </c>
      <c r="I96" s="4" t="s">
        <v>190</v>
      </c>
      <c r="J96" s="4" t="n">
        <v>377</v>
      </c>
      <c r="K96" s="7" t="n">
        <v>0</v>
      </c>
      <c r="L96" s="8" t="n">
        <f aca="false">IF(B96="Named User",7,IF(B96="Named User (Chargeback)",4,3))</f>
        <v>7</v>
      </c>
      <c r="M96" s="8" t="n">
        <f aca="false">IF(C96="Extra Green",25,IF(C96="Green",20,IF(C96="Yellow",8,IF(C96="Red",3,0))))</f>
        <v>0</v>
      </c>
      <c r="N96" s="8" t="n">
        <f aca="false">IF(F96&gt;=1,18,IF(F96&gt;=0.95,16,IF(F96&gt;=0.9,14,IF(F96&gt;=0.8,10,IF(F96&gt;=0.7,6,2)))))</f>
        <v>2</v>
      </c>
      <c r="O96" s="8" t="n">
        <f aca="false">IF(K96=0,0,IF(K96&gt;=50,25,IF(K96&gt;=30,22,IF(K96&gt;=20,18,IF(K96&gt;=10,14,IF(K96&gt;=5,10,5))))))</f>
        <v>0</v>
      </c>
      <c r="P96" s="8" t="n">
        <f aca="false">IF(H96&gt;=25000,10,IF(H96&gt;=15000,8,IF(H96&gt;=10000,6,IF(H96&gt;=5000,4,2))))</f>
        <v>4</v>
      </c>
      <c r="Q96" s="8" t="n">
        <f aca="false">IF(J96&lt;=30,15,IF(J96&lt;=60,13,IF(J96&lt;=90,11,IF(J96&lt;=120,9,IF(J96&lt;=180,6,3)))))</f>
        <v>3</v>
      </c>
      <c r="R96" s="9" t="n">
        <f aca="false">IF(K96=0,0,L96+M96+N96+O96+P96+Q96)</f>
        <v>0</v>
      </c>
      <c r="S96" s="8" t="str">
        <f aca="false">IF(K96=0,"Need Hex Data",IF(R96&gt;=75,"Tier 1",IF(R96&gt;=55,"Tier 2",IF(R96&gt;=35,"Tier 3","Below Threshold"))))</f>
        <v>Need Hex Data</v>
      </c>
    </row>
    <row r="97" customFormat="false" ht="15" hidden="false" customHeight="false" outlineLevel="0" collapsed="false">
      <c r="A97" s="4" t="s">
        <v>191</v>
      </c>
      <c r="B97" s="4" t="s">
        <v>33</v>
      </c>
      <c r="C97" s="4" t="s">
        <v>43</v>
      </c>
      <c r="D97" s="4" t="n">
        <v>23</v>
      </c>
      <c r="E97" s="4" t="n">
        <v>21</v>
      </c>
      <c r="F97" s="5" t="n">
        <f aca="false">IF(D97&gt;0,E97/D97,0)</f>
        <v>0.91304347826087</v>
      </c>
      <c r="G97" s="4" t="n">
        <v>13</v>
      </c>
      <c r="H97" s="6" t="n">
        <v>4954.2</v>
      </c>
      <c r="I97" s="4" t="s">
        <v>192</v>
      </c>
      <c r="J97" s="4" t="n">
        <v>400</v>
      </c>
      <c r="K97" s="7" t="n">
        <v>0</v>
      </c>
      <c r="L97" s="8" t="n">
        <f aca="false">IF(B97="Named User",7,IF(B97="Named User (Chargeback)",4,3))</f>
        <v>7</v>
      </c>
      <c r="M97" s="8" t="n">
        <f aca="false">IF(C97="Extra Green",25,IF(C97="Green",20,IF(C97="Yellow",8,IF(C97="Red",3,0))))</f>
        <v>8</v>
      </c>
      <c r="N97" s="8" t="n">
        <f aca="false">IF(F97&gt;=1,18,IF(F97&gt;=0.95,16,IF(F97&gt;=0.9,14,IF(F97&gt;=0.8,10,IF(F97&gt;=0.7,6,2)))))</f>
        <v>14</v>
      </c>
      <c r="O97" s="8" t="n">
        <f aca="false">IF(K97=0,0,IF(K97&gt;=50,25,IF(K97&gt;=30,22,IF(K97&gt;=20,18,IF(K97&gt;=10,14,IF(K97&gt;=5,10,5))))))</f>
        <v>0</v>
      </c>
      <c r="P97" s="8" t="n">
        <f aca="false">IF(H97&gt;=25000,10,IF(H97&gt;=15000,8,IF(H97&gt;=10000,6,IF(H97&gt;=5000,4,2))))</f>
        <v>2</v>
      </c>
      <c r="Q97" s="8" t="n">
        <f aca="false">IF(J97&lt;=30,15,IF(J97&lt;=60,13,IF(J97&lt;=90,11,IF(J97&lt;=120,9,IF(J97&lt;=180,6,3)))))</f>
        <v>3</v>
      </c>
      <c r="R97" s="9" t="n">
        <f aca="false">IF(K97=0,0,L97+M97+N97+O97+P97+Q97)</f>
        <v>0</v>
      </c>
      <c r="S97" s="8" t="str">
        <f aca="false">IF(K97=0,"Need Hex Data",IF(R97&gt;=75,"Tier 1",IF(R97&gt;=55,"Tier 2",IF(R97&gt;=35,"Tier 3","Below Threshold"))))</f>
        <v>Need Hex Data</v>
      </c>
    </row>
    <row r="98" customFormat="false" ht="15" hidden="false" customHeight="false" outlineLevel="0" collapsed="false">
      <c r="A98" s="4" t="s">
        <v>193</v>
      </c>
      <c r="B98" s="4" t="s">
        <v>22</v>
      </c>
      <c r="C98" s="4" t="s">
        <v>23</v>
      </c>
      <c r="D98" s="4" t="n">
        <v>150</v>
      </c>
      <c r="E98" s="4" t="n">
        <v>28</v>
      </c>
      <c r="F98" s="5" t="n">
        <f aca="false">IF(D98&gt;0,E98/D98,0)</f>
        <v>0.186666666666667</v>
      </c>
      <c r="G98" s="4" t="n">
        <v>10</v>
      </c>
      <c r="H98" s="6" t="n">
        <v>21540</v>
      </c>
      <c r="I98" s="4" t="s">
        <v>194</v>
      </c>
      <c r="J98" s="4" t="n">
        <v>409</v>
      </c>
      <c r="K98" s="7" t="n">
        <v>0</v>
      </c>
      <c r="L98" s="8" t="n">
        <f aca="false">IF(B98="Named User",7,IF(B98="Named User (Chargeback)",4,3))</f>
        <v>3</v>
      </c>
      <c r="M98" s="8" t="n">
        <f aca="false">IF(C98="Extra Green",25,IF(C98="Green",20,IF(C98="Yellow",8,IF(C98="Red",3,0))))</f>
        <v>3</v>
      </c>
      <c r="N98" s="8" t="n">
        <f aca="false">IF(F98&gt;=1,18,IF(F98&gt;=0.95,16,IF(F98&gt;=0.9,14,IF(F98&gt;=0.8,10,IF(F98&gt;=0.7,6,2)))))</f>
        <v>2</v>
      </c>
      <c r="O98" s="8" t="n">
        <f aca="false">IF(K98=0,0,IF(K98&gt;=50,25,IF(K98&gt;=30,22,IF(K98&gt;=20,18,IF(K98&gt;=10,14,IF(K98&gt;=5,10,5))))))</f>
        <v>0</v>
      </c>
      <c r="P98" s="8" t="n">
        <f aca="false">IF(H98&gt;=25000,10,IF(H98&gt;=15000,8,IF(H98&gt;=10000,6,IF(H98&gt;=5000,4,2))))</f>
        <v>8</v>
      </c>
      <c r="Q98" s="8" t="n">
        <f aca="false">IF(J98&lt;=30,15,IF(J98&lt;=60,13,IF(J98&lt;=90,11,IF(J98&lt;=120,9,IF(J98&lt;=180,6,3)))))</f>
        <v>3</v>
      </c>
      <c r="R98" s="9" t="n">
        <f aca="false">IF(K98=0,0,L98+M98+N98+O98+P98+Q98)</f>
        <v>0</v>
      </c>
      <c r="S98" s="8" t="str">
        <f aca="false">IF(K98=0,"Need Hex Data",IF(R98&gt;=75,"Tier 1",IF(R98&gt;=55,"Tier 2",IF(R98&gt;=35,"Tier 3","Below Threshold"))))</f>
        <v>Need Hex Data</v>
      </c>
    </row>
    <row r="99" customFormat="false" ht="15" hidden="false" customHeight="false" outlineLevel="0" collapsed="false">
      <c r="A99" s="4" t="s">
        <v>195</v>
      </c>
      <c r="B99" s="4" t="s">
        <v>22</v>
      </c>
      <c r="C99" s="4" t="s">
        <v>23</v>
      </c>
      <c r="D99" s="4" t="n">
        <v>120</v>
      </c>
      <c r="E99" s="4" t="n">
        <v>7</v>
      </c>
      <c r="F99" s="5" t="n">
        <f aca="false">IF(D99&gt;0,E99/D99,0)</f>
        <v>0.0583333333333333</v>
      </c>
      <c r="G99" s="4" t="n">
        <v>7</v>
      </c>
      <c r="H99" s="6" t="n">
        <v>12924</v>
      </c>
      <c r="I99" s="4" t="s">
        <v>196</v>
      </c>
      <c r="J99" s="4" t="n">
        <v>1052</v>
      </c>
      <c r="K99" s="7" t="n">
        <v>0</v>
      </c>
      <c r="L99" s="8" t="n">
        <f aca="false">IF(B99="Named User",7,IF(B99="Named User (Chargeback)",4,3))</f>
        <v>3</v>
      </c>
      <c r="M99" s="8" t="n">
        <f aca="false">IF(C99="Extra Green",25,IF(C99="Green",20,IF(C99="Yellow",8,IF(C99="Red",3,0))))</f>
        <v>3</v>
      </c>
      <c r="N99" s="8" t="n">
        <f aca="false">IF(F99&gt;=1,18,IF(F99&gt;=0.95,16,IF(F99&gt;=0.9,14,IF(F99&gt;=0.8,10,IF(F99&gt;=0.7,6,2)))))</f>
        <v>2</v>
      </c>
      <c r="O99" s="8" t="n">
        <f aca="false">IF(K99=0,0,IF(K99&gt;=50,25,IF(K99&gt;=30,22,IF(K99&gt;=20,18,IF(K99&gt;=10,14,IF(K99&gt;=5,10,5))))))</f>
        <v>0</v>
      </c>
      <c r="P99" s="8" t="n">
        <f aca="false">IF(H99&gt;=25000,10,IF(H99&gt;=15000,8,IF(H99&gt;=10000,6,IF(H99&gt;=5000,4,2))))</f>
        <v>6</v>
      </c>
      <c r="Q99" s="8" t="n">
        <f aca="false">IF(J99&lt;=30,15,IF(J99&lt;=60,13,IF(J99&lt;=90,11,IF(J99&lt;=120,9,IF(J99&lt;=180,6,3)))))</f>
        <v>3</v>
      </c>
      <c r="R99" s="9" t="n">
        <f aca="false">IF(K99=0,0,L99+M99+N99+O99+P99+Q99)</f>
        <v>0</v>
      </c>
      <c r="S99" s="8" t="str">
        <f aca="false">IF(K99=0,"Need Hex Data",IF(R99&gt;=75,"Tier 1",IF(R99&gt;=55,"Tier 2",IF(R99&gt;=35,"Tier 3","Below Threshold"))))</f>
        <v>Need Hex Data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4" min="13" style="0" width="10"/>
    <col collapsed="false" customWidth="true" hidden="false" outlineLevel="0" max="16" min="15" style="0" width="12"/>
    <col collapsed="false" customWidth="true" hidden="false" outlineLevel="0" max="18" min="17" style="0" width="10"/>
    <col collapsed="false" customWidth="true" hidden="false" outlineLevel="0" max="20" min="19" style="0" width="12"/>
  </cols>
  <sheetData>
    <row r="1" customFormat="false" ht="17.35" hidden="false" customHeight="fals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10" t="s">
        <v>198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4" customFormat="false" ht="34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199</v>
      </c>
      <c r="E4" s="3" t="s">
        <v>6</v>
      </c>
      <c r="F4" s="3" t="s">
        <v>200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201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</row>
    <row r="5" customFormat="false" ht="15" hidden="false" customHeight="false" outlineLevel="0" collapsed="false">
      <c r="A5" s="11" t="s">
        <v>202</v>
      </c>
      <c r="B5" s="11" t="s">
        <v>203</v>
      </c>
      <c r="C5" s="11" t="s">
        <v>43</v>
      </c>
      <c r="D5" s="11" t="n">
        <v>41</v>
      </c>
      <c r="E5" s="11" t="n">
        <v>56</v>
      </c>
      <c r="F5" s="12" t="n">
        <f aca="false">IF(D5&gt;0,E5/D5,0)</f>
        <v>1.36585365853659</v>
      </c>
      <c r="G5" s="11" t="n">
        <v>33</v>
      </c>
      <c r="H5" s="13" t="n">
        <v>8831.4</v>
      </c>
      <c r="I5" s="11" t="s">
        <v>31</v>
      </c>
      <c r="J5" s="11" t="n">
        <v>4</v>
      </c>
      <c r="K5" s="11" t="str">
        <f aca="false">IF(J5&lt;=30,"🔴 NOW",IF(J5&lt;=60,"🟠 Soon",IF(J5&lt;=90,"🟡 Q1",IF(J5&lt;=180,"🟢 Q2","⚪ Later"))))</f>
        <v>🔴 NOW</v>
      </c>
      <c r="L5" s="7" t="n">
        <v>0</v>
      </c>
      <c r="M5" s="8" t="n">
        <f aca="false">IF(B5="Defined Group",5,4)</f>
        <v>5</v>
      </c>
      <c r="N5" s="8" t="n">
        <f aca="false">IF(C5="Extra Green",25,IF(C5="Green",20,IF(C5="Yellow",8,IF(C5="Red",3,0))))</f>
        <v>8</v>
      </c>
      <c r="O5" s="8" t="n">
        <f aca="false">IF(F5&gt;=1,18,IF(F5&gt;=0.95,16,IF(F5&gt;=0.9,14,IF(F5&gt;=0.8,10,IF(F5&gt;=0.7,6,2)))))</f>
        <v>18</v>
      </c>
      <c r="P5" s="8" t="n">
        <f aca="false">IF(L5=0,0,IF(L5&gt;=50,25,IF(L5&gt;=30,22,IF(L5&gt;=20,18,IF(L5&gt;=10,14,IF(L5&gt;=5,10,5))))))</f>
        <v>0</v>
      </c>
      <c r="Q5" s="8" t="n">
        <f aca="false">IF(H5&gt;=25000,10,IF(H5&gt;=15000,8,IF(H5&gt;=10000,6,IF(H5&gt;=5000,4,2))))</f>
        <v>4</v>
      </c>
      <c r="R5" s="8" t="n">
        <f aca="false">IF(J5&lt;=30,20,IF(J5&lt;=60,17,IF(J5&lt;=90,14,IF(J5&lt;=120,10,IF(J5&lt;=180,5,2)))))</f>
        <v>20</v>
      </c>
      <c r="S5" s="9" t="n">
        <f aca="false">IF(L5=0,0,M5+N5+O5+P5+Q5+R5)</f>
        <v>0</v>
      </c>
      <c r="T5" s="8" t="str">
        <f aca="false">IF(L5=0,"Need Hex Data",IF(S5&gt;=75,"Tier 1",IF(S5&gt;=55,"Tier 2",IF(S5&gt;=35,"Tier 3","Below Threshold"))))</f>
        <v>Need Hex Data</v>
      </c>
    </row>
    <row r="6" customFormat="false" ht="15" hidden="false" customHeight="false" outlineLevel="0" collapsed="false">
      <c r="A6" s="14" t="s">
        <v>204</v>
      </c>
      <c r="B6" s="14" t="s">
        <v>203</v>
      </c>
      <c r="C6" s="14" t="s">
        <v>23</v>
      </c>
      <c r="D6" s="14" t="n">
        <v>53</v>
      </c>
      <c r="E6" s="14" t="n">
        <v>72</v>
      </c>
      <c r="F6" s="15" t="n">
        <f aca="false">IF(D6&gt;0,E6/D6,0)</f>
        <v>1.35849056603774</v>
      </c>
      <c r="G6" s="14" t="n">
        <v>24</v>
      </c>
      <c r="H6" s="16" t="n">
        <v>11416.2</v>
      </c>
      <c r="I6" s="14" t="s">
        <v>205</v>
      </c>
      <c r="J6" s="14" t="n">
        <v>43</v>
      </c>
      <c r="K6" s="14" t="str">
        <f aca="false">IF(J6&lt;=30,"🔴 NOW",IF(J6&lt;=60,"🟠 Soon",IF(J6&lt;=90,"🟡 Q1",IF(J6&lt;=180,"🟢 Q2","⚪ Later"))))</f>
        <v>🟠 Soon</v>
      </c>
      <c r="L6" s="7" t="n">
        <v>0</v>
      </c>
      <c r="M6" s="8" t="n">
        <f aca="false">IF(B6="Defined Group",5,4)</f>
        <v>5</v>
      </c>
      <c r="N6" s="8" t="n">
        <f aca="false">IF(C6="Extra Green",25,IF(C6="Green",20,IF(C6="Yellow",8,IF(C6="Red",3,0))))</f>
        <v>3</v>
      </c>
      <c r="O6" s="8" t="n">
        <f aca="false">IF(F6&gt;=1,18,IF(F6&gt;=0.95,16,IF(F6&gt;=0.9,14,IF(F6&gt;=0.8,10,IF(F6&gt;=0.7,6,2)))))</f>
        <v>18</v>
      </c>
      <c r="P6" s="8" t="n">
        <f aca="false">IF(L6=0,0,IF(L6&gt;=50,25,IF(L6&gt;=30,22,IF(L6&gt;=20,18,IF(L6&gt;=10,14,IF(L6&gt;=5,10,5))))))</f>
        <v>0</v>
      </c>
      <c r="Q6" s="8" t="n">
        <f aca="false">IF(H6&gt;=25000,10,IF(H6&gt;=15000,8,IF(H6&gt;=10000,6,IF(H6&gt;=5000,4,2))))</f>
        <v>6</v>
      </c>
      <c r="R6" s="8" t="n">
        <f aca="false">IF(J6&lt;=30,20,IF(J6&lt;=60,17,IF(J6&lt;=90,14,IF(J6&lt;=120,10,IF(J6&lt;=180,5,2)))))</f>
        <v>17</v>
      </c>
      <c r="S6" s="9" t="n">
        <f aca="false">IF(L6=0,0,M6+N6+O6+P6+Q6+R6)</f>
        <v>0</v>
      </c>
      <c r="T6" s="8" t="str">
        <f aca="false">IF(L6=0,"Need Hex Data",IF(S6&gt;=75,"Tier 1",IF(S6&gt;=55,"Tier 2",IF(S6&gt;=35,"Tier 3","Below Threshold"))))</f>
        <v>Need Hex Data</v>
      </c>
    </row>
    <row r="7" customFormat="false" ht="15" hidden="false" customHeight="false" outlineLevel="0" collapsed="false">
      <c r="A7" s="14" t="s">
        <v>206</v>
      </c>
      <c r="B7" s="14" t="s">
        <v>203</v>
      </c>
      <c r="C7" s="14" t="s">
        <v>23</v>
      </c>
      <c r="D7" s="14" t="n">
        <v>45</v>
      </c>
      <c r="E7" s="14" t="n">
        <v>39</v>
      </c>
      <c r="F7" s="15" t="n">
        <f aca="false">IF(D7&gt;0,E7/D7,0)</f>
        <v>0.866666666666667</v>
      </c>
      <c r="G7" s="14" t="n">
        <v>17</v>
      </c>
      <c r="H7" s="16" t="n">
        <v>9693</v>
      </c>
      <c r="I7" s="14" t="s">
        <v>207</v>
      </c>
      <c r="J7" s="14" t="n">
        <v>51</v>
      </c>
      <c r="K7" s="14" t="str">
        <f aca="false">IF(J7&lt;=30,"🔴 NOW",IF(J7&lt;=60,"🟠 Soon",IF(J7&lt;=90,"🟡 Q1",IF(J7&lt;=180,"🟢 Q2","⚪ Later"))))</f>
        <v>🟠 Soon</v>
      </c>
      <c r="L7" s="7" t="n">
        <v>0</v>
      </c>
      <c r="M7" s="8" t="n">
        <f aca="false">IF(B7="Defined Group",5,4)</f>
        <v>5</v>
      </c>
      <c r="N7" s="8" t="n">
        <f aca="false">IF(C7="Extra Green",25,IF(C7="Green",20,IF(C7="Yellow",8,IF(C7="Red",3,0))))</f>
        <v>3</v>
      </c>
      <c r="O7" s="8" t="n">
        <f aca="false">IF(F7&gt;=1,18,IF(F7&gt;=0.95,16,IF(F7&gt;=0.9,14,IF(F7&gt;=0.8,10,IF(F7&gt;=0.7,6,2)))))</f>
        <v>10</v>
      </c>
      <c r="P7" s="8" t="n">
        <f aca="false">IF(L7=0,0,IF(L7&gt;=50,25,IF(L7&gt;=30,22,IF(L7&gt;=20,18,IF(L7&gt;=10,14,IF(L7&gt;=5,10,5))))))</f>
        <v>0</v>
      </c>
      <c r="Q7" s="8" t="n">
        <f aca="false">IF(H7&gt;=25000,10,IF(H7&gt;=15000,8,IF(H7&gt;=10000,6,IF(H7&gt;=5000,4,2))))</f>
        <v>4</v>
      </c>
      <c r="R7" s="8" t="n">
        <f aca="false">IF(J7&lt;=30,20,IF(J7&lt;=60,17,IF(J7&lt;=90,14,IF(J7&lt;=120,10,IF(J7&lt;=180,5,2)))))</f>
        <v>17</v>
      </c>
      <c r="S7" s="9" t="n">
        <f aca="false">IF(L7=0,0,M7+N7+O7+P7+Q7+R7)</f>
        <v>0</v>
      </c>
      <c r="T7" s="8" t="str">
        <f aca="false">IF(L7=0,"Need Hex Data",IF(S7&gt;=75,"Tier 1",IF(S7&gt;=55,"Tier 2",IF(S7&gt;=35,"Tier 3","Below Threshold"))))</f>
        <v>Need Hex Data</v>
      </c>
    </row>
    <row r="8" customFormat="false" ht="15" hidden="false" customHeight="false" outlineLevel="0" collapsed="false">
      <c r="A8" s="14" t="s">
        <v>208</v>
      </c>
      <c r="B8" s="14" t="s">
        <v>203</v>
      </c>
      <c r="C8" s="14" t="s">
        <v>23</v>
      </c>
      <c r="D8" s="14" t="n">
        <v>24</v>
      </c>
      <c r="E8" s="14" t="n">
        <v>28</v>
      </c>
      <c r="F8" s="15" t="n">
        <f aca="false">IF(D8&gt;0,E8/D8,0)</f>
        <v>1.16666666666667</v>
      </c>
      <c r="G8" s="14" t="n">
        <v>12</v>
      </c>
      <c r="H8" s="16" t="n">
        <v>5169.6</v>
      </c>
      <c r="I8" s="14" t="s">
        <v>209</v>
      </c>
      <c r="J8" s="14" t="n">
        <v>57</v>
      </c>
      <c r="K8" s="14" t="str">
        <f aca="false">IF(J8&lt;=30,"🔴 NOW",IF(J8&lt;=60,"🟠 Soon",IF(J8&lt;=90,"🟡 Q1",IF(J8&lt;=180,"🟢 Q2","⚪ Later"))))</f>
        <v>🟠 Soon</v>
      </c>
      <c r="L8" s="7" t="n">
        <v>0</v>
      </c>
      <c r="M8" s="8" t="n">
        <f aca="false">IF(B8="Defined Group",5,4)</f>
        <v>5</v>
      </c>
      <c r="N8" s="8" t="n">
        <f aca="false">IF(C8="Extra Green",25,IF(C8="Green",20,IF(C8="Yellow",8,IF(C8="Red",3,0))))</f>
        <v>3</v>
      </c>
      <c r="O8" s="8" t="n">
        <f aca="false">IF(F8&gt;=1,18,IF(F8&gt;=0.95,16,IF(F8&gt;=0.9,14,IF(F8&gt;=0.8,10,IF(F8&gt;=0.7,6,2)))))</f>
        <v>18</v>
      </c>
      <c r="P8" s="8" t="n">
        <f aca="false">IF(L8=0,0,IF(L8&gt;=50,25,IF(L8&gt;=30,22,IF(L8&gt;=20,18,IF(L8&gt;=10,14,IF(L8&gt;=5,10,5))))))</f>
        <v>0</v>
      </c>
      <c r="Q8" s="8" t="n">
        <f aca="false">IF(H8&gt;=25000,10,IF(H8&gt;=15000,8,IF(H8&gt;=10000,6,IF(H8&gt;=5000,4,2))))</f>
        <v>4</v>
      </c>
      <c r="R8" s="8" t="n">
        <f aca="false">IF(J8&lt;=30,20,IF(J8&lt;=60,17,IF(J8&lt;=90,14,IF(J8&lt;=120,10,IF(J8&lt;=180,5,2)))))</f>
        <v>17</v>
      </c>
      <c r="S8" s="9" t="n">
        <f aca="false">IF(L8=0,0,M8+N8+O8+P8+Q8+R8)</f>
        <v>0</v>
      </c>
      <c r="T8" s="8" t="str">
        <f aca="false">IF(L8=0,"Need Hex Data",IF(S8&gt;=75,"Tier 1",IF(S8&gt;=55,"Tier 2",IF(S8&gt;=35,"Tier 3","Below Threshold"))))</f>
        <v>Need Hex Data</v>
      </c>
    </row>
    <row r="9" customFormat="false" ht="15" hidden="false" customHeight="false" outlineLevel="0" collapsed="false">
      <c r="A9" s="14" t="s">
        <v>210</v>
      </c>
      <c r="B9" s="14" t="s">
        <v>203</v>
      </c>
      <c r="C9" s="14" t="s">
        <v>23</v>
      </c>
      <c r="D9" s="14" t="n">
        <v>21</v>
      </c>
      <c r="E9" s="14" t="n">
        <v>22</v>
      </c>
      <c r="F9" s="15" t="n">
        <f aca="false">IF(D9&gt;0,E9/D9,0)</f>
        <v>1.04761904761905</v>
      </c>
      <c r="G9" s="14" t="n">
        <v>11</v>
      </c>
      <c r="H9" s="16" t="n">
        <v>4523.4</v>
      </c>
      <c r="I9" s="14" t="s">
        <v>211</v>
      </c>
      <c r="J9" s="14" t="n">
        <v>60</v>
      </c>
      <c r="K9" s="14" t="str">
        <f aca="false">IF(J9&lt;=30,"🔴 NOW",IF(J9&lt;=60,"🟠 Soon",IF(J9&lt;=90,"🟡 Q1",IF(J9&lt;=180,"🟢 Q2","⚪ Later"))))</f>
        <v>🟠 Soon</v>
      </c>
      <c r="L9" s="7" t="n">
        <v>0</v>
      </c>
      <c r="M9" s="8" t="n">
        <f aca="false">IF(B9="Defined Group",5,4)</f>
        <v>5</v>
      </c>
      <c r="N9" s="8" t="n">
        <f aca="false">IF(C9="Extra Green",25,IF(C9="Green",20,IF(C9="Yellow",8,IF(C9="Red",3,0))))</f>
        <v>3</v>
      </c>
      <c r="O9" s="8" t="n">
        <f aca="false">IF(F9&gt;=1,18,IF(F9&gt;=0.95,16,IF(F9&gt;=0.9,14,IF(F9&gt;=0.8,10,IF(F9&gt;=0.7,6,2)))))</f>
        <v>18</v>
      </c>
      <c r="P9" s="8" t="n">
        <f aca="false">IF(L9=0,0,IF(L9&gt;=50,25,IF(L9&gt;=30,22,IF(L9&gt;=20,18,IF(L9&gt;=10,14,IF(L9&gt;=5,10,5))))))</f>
        <v>0</v>
      </c>
      <c r="Q9" s="8" t="n">
        <f aca="false">IF(H9&gt;=25000,10,IF(H9&gt;=15000,8,IF(H9&gt;=10000,6,IF(H9&gt;=5000,4,2))))</f>
        <v>2</v>
      </c>
      <c r="R9" s="8" t="n">
        <f aca="false">IF(J9&lt;=30,20,IF(J9&lt;=60,17,IF(J9&lt;=90,14,IF(J9&lt;=120,10,IF(J9&lt;=180,5,2)))))</f>
        <v>17</v>
      </c>
      <c r="S9" s="9" t="n">
        <f aca="false">IF(L9=0,0,M9+N9+O9+P9+Q9+R9)</f>
        <v>0</v>
      </c>
      <c r="T9" s="8" t="str">
        <f aca="false">IF(L9=0,"Need Hex Data",IF(S9&gt;=75,"Tier 1",IF(S9&gt;=55,"Tier 2",IF(S9&gt;=35,"Tier 3","Below Threshold"))))</f>
        <v>Need Hex Data</v>
      </c>
    </row>
    <row r="10" customFormat="false" ht="15" hidden="false" customHeight="false" outlineLevel="0" collapsed="false">
      <c r="A10" s="14" t="s">
        <v>212</v>
      </c>
      <c r="B10" s="14" t="s">
        <v>203</v>
      </c>
      <c r="C10" s="14" t="s">
        <v>23</v>
      </c>
      <c r="D10" s="14" t="n">
        <v>80</v>
      </c>
      <c r="E10" s="14" t="n">
        <v>137</v>
      </c>
      <c r="F10" s="15" t="n">
        <f aca="false">IF(D10&gt;0,E10/D10,0)</f>
        <v>1.7125</v>
      </c>
      <c r="G10" s="14" t="n">
        <v>53</v>
      </c>
      <c r="H10" s="16" t="n">
        <v>17232</v>
      </c>
      <c r="I10" s="14" t="s">
        <v>213</v>
      </c>
      <c r="J10" s="14" t="n">
        <v>80</v>
      </c>
      <c r="K10" s="14" t="str">
        <f aca="false">IF(J10&lt;=30,"🔴 NOW",IF(J10&lt;=60,"🟠 Soon",IF(J10&lt;=90,"🟡 Q1",IF(J10&lt;=180,"🟢 Q2","⚪ Later"))))</f>
        <v>🟡 Q1</v>
      </c>
      <c r="L10" s="7" t="n">
        <v>0</v>
      </c>
      <c r="M10" s="8" t="n">
        <f aca="false">IF(B10="Defined Group",5,4)</f>
        <v>5</v>
      </c>
      <c r="N10" s="8" t="n">
        <f aca="false">IF(C10="Extra Green",25,IF(C10="Green",20,IF(C10="Yellow",8,IF(C10="Red",3,0))))</f>
        <v>3</v>
      </c>
      <c r="O10" s="8" t="n">
        <f aca="false">IF(F10&gt;=1,18,IF(F10&gt;=0.95,16,IF(F10&gt;=0.9,14,IF(F10&gt;=0.8,10,IF(F10&gt;=0.7,6,2)))))</f>
        <v>18</v>
      </c>
      <c r="P10" s="8" t="n">
        <f aca="false">IF(L10=0,0,IF(L10&gt;=50,25,IF(L10&gt;=30,22,IF(L10&gt;=20,18,IF(L10&gt;=10,14,IF(L10&gt;=5,10,5))))))</f>
        <v>0</v>
      </c>
      <c r="Q10" s="8" t="n">
        <f aca="false">IF(H10&gt;=25000,10,IF(H10&gt;=15000,8,IF(H10&gt;=10000,6,IF(H10&gt;=5000,4,2))))</f>
        <v>8</v>
      </c>
      <c r="R10" s="8" t="n">
        <f aca="false">IF(J10&lt;=30,20,IF(J10&lt;=60,17,IF(J10&lt;=90,14,IF(J10&lt;=120,10,IF(J10&lt;=180,5,2)))))</f>
        <v>14</v>
      </c>
      <c r="S10" s="9" t="n">
        <f aca="false">IF(L10=0,0,M10+N10+O10+P10+Q10+R10)</f>
        <v>0</v>
      </c>
      <c r="T10" s="8" t="str">
        <f aca="false">IF(L10=0,"Need Hex Data",IF(S10&gt;=75,"Tier 1",IF(S10&gt;=55,"Tier 2",IF(S10&gt;=35,"Tier 3","Below Threshold"))))</f>
        <v>Need Hex Data</v>
      </c>
    </row>
    <row r="11" customFormat="false" ht="15" hidden="false" customHeight="false" outlineLevel="0" collapsed="false">
      <c r="A11" s="4" t="s">
        <v>214</v>
      </c>
      <c r="B11" s="4" t="s">
        <v>203</v>
      </c>
      <c r="C11" s="4" t="s">
        <v>23</v>
      </c>
      <c r="D11" s="4" t="n">
        <v>25</v>
      </c>
      <c r="E11" s="4" t="n">
        <v>23</v>
      </c>
      <c r="F11" s="5" t="n">
        <f aca="false">IF(D11&gt;0,E11/D11,0)</f>
        <v>0.92</v>
      </c>
      <c r="G11" s="4" t="n">
        <v>11</v>
      </c>
      <c r="H11" s="6" t="n">
        <v>5385</v>
      </c>
      <c r="I11" s="4" t="s">
        <v>72</v>
      </c>
      <c r="J11" s="4" t="n">
        <v>93</v>
      </c>
      <c r="K11" s="4" t="str">
        <f aca="false">IF(J11&lt;=30,"🔴 NOW",IF(J11&lt;=60,"🟠 Soon",IF(J11&lt;=90,"🟡 Q1",IF(J11&lt;=180,"🟢 Q2","⚪ Later"))))</f>
        <v>🟢 Q2</v>
      </c>
      <c r="L11" s="7" t="n">
        <v>0</v>
      </c>
      <c r="M11" s="8" t="n">
        <f aca="false">IF(B11="Defined Group",5,4)</f>
        <v>5</v>
      </c>
      <c r="N11" s="8" t="n">
        <f aca="false">IF(C11="Extra Green",25,IF(C11="Green",20,IF(C11="Yellow",8,IF(C11="Red",3,0))))</f>
        <v>3</v>
      </c>
      <c r="O11" s="8" t="n">
        <f aca="false">IF(F11&gt;=1,18,IF(F11&gt;=0.95,16,IF(F11&gt;=0.9,14,IF(F11&gt;=0.8,10,IF(F11&gt;=0.7,6,2)))))</f>
        <v>14</v>
      </c>
      <c r="P11" s="8" t="n">
        <f aca="false">IF(L11=0,0,IF(L11&gt;=50,25,IF(L11&gt;=30,22,IF(L11&gt;=20,18,IF(L11&gt;=10,14,IF(L11&gt;=5,10,5))))))</f>
        <v>0</v>
      </c>
      <c r="Q11" s="8" t="n">
        <f aca="false">IF(H11&gt;=25000,10,IF(H11&gt;=15000,8,IF(H11&gt;=10000,6,IF(H11&gt;=5000,4,2))))</f>
        <v>4</v>
      </c>
      <c r="R11" s="8" t="n">
        <f aca="false">IF(J11&lt;=30,20,IF(J11&lt;=60,17,IF(J11&lt;=90,14,IF(J11&lt;=120,10,IF(J11&lt;=180,5,2)))))</f>
        <v>10</v>
      </c>
      <c r="S11" s="9" t="n">
        <f aca="false">IF(L11=0,0,M11+N11+O11+P11+Q11+R11)</f>
        <v>0</v>
      </c>
      <c r="T11" s="8" t="str">
        <f aca="false">IF(L11=0,"Need Hex Data",IF(S11&gt;=75,"Tier 1",IF(S11&gt;=55,"Tier 2",IF(S11&gt;=35,"Tier 3","Below Threshold"))))</f>
        <v>Need Hex Data</v>
      </c>
    </row>
    <row r="12" customFormat="false" ht="15" hidden="false" customHeight="false" outlineLevel="0" collapsed="false">
      <c r="A12" s="4" t="s">
        <v>215</v>
      </c>
      <c r="B12" s="4" t="s">
        <v>203</v>
      </c>
      <c r="C12" s="4" t="s">
        <v>43</v>
      </c>
      <c r="D12" s="4" t="n">
        <v>30</v>
      </c>
      <c r="E12" s="4" t="n">
        <v>39</v>
      </c>
      <c r="F12" s="5" t="n">
        <f aca="false">IF(D12&gt;0,E12/D12,0)</f>
        <v>1.3</v>
      </c>
      <c r="G12" s="4" t="n">
        <v>24</v>
      </c>
      <c r="H12" s="6" t="n">
        <v>6462</v>
      </c>
      <c r="I12" s="4" t="s">
        <v>216</v>
      </c>
      <c r="J12" s="4" t="n">
        <v>101</v>
      </c>
      <c r="K12" s="4" t="str">
        <f aca="false">IF(J12&lt;=30,"🔴 NOW",IF(J12&lt;=60,"🟠 Soon",IF(J12&lt;=90,"🟡 Q1",IF(J12&lt;=180,"🟢 Q2","⚪ Later"))))</f>
        <v>🟢 Q2</v>
      </c>
      <c r="L12" s="7" t="n">
        <v>0</v>
      </c>
      <c r="M12" s="8" t="n">
        <f aca="false">IF(B12="Defined Group",5,4)</f>
        <v>5</v>
      </c>
      <c r="N12" s="8" t="n">
        <f aca="false">IF(C12="Extra Green",25,IF(C12="Green",20,IF(C12="Yellow",8,IF(C12="Red",3,0))))</f>
        <v>8</v>
      </c>
      <c r="O12" s="8" t="n">
        <f aca="false">IF(F12&gt;=1,18,IF(F12&gt;=0.95,16,IF(F12&gt;=0.9,14,IF(F12&gt;=0.8,10,IF(F12&gt;=0.7,6,2)))))</f>
        <v>18</v>
      </c>
      <c r="P12" s="8" t="n">
        <f aca="false">IF(L12=0,0,IF(L12&gt;=50,25,IF(L12&gt;=30,22,IF(L12&gt;=20,18,IF(L12&gt;=10,14,IF(L12&gt;=5,10,5))))))</f>
        <v>0</v>
      </c>
      <c r="Q12" s="8" t="n">
        <f aca="false">IF(H12&gt;=25000,10,IF(H12&gt;=15000,8,IF(H12&gt;=10000,6,IF(H12&gt;=5000,4,2))))</f>
        <v>4</v>
      </c>
      <c r="R12" s="8" t="n">
        <f aca="false">IF(J12&lt;=30,20,IF(J12&lt;=60,17,IF(J12&lt;=90,14,IF(J12&lt;=120,10,IF(J12&lt;=180,5,2)))))</f>
        <v>10</v>
      </c>
      <c r="S12" s="9" t="n">
        <f aca="false">IF(L12=0,0,M12+N12+O12+P12+Q12+R12)</f>
        <v>0</v>
      </c>
      <c r="T12" s="8" t="str">
        <f aca="false">IF(L12=0,"Need Hex Data",IF(S12&gt;=75,"Tier 1",IF(S12&gt;=55,"Tier 2",IF(S12&gt;=35,"Tier 3","Below Threshold"))))</f>
        <v>Need Hex Data</v>
      </c>
    </row>
    <row r="13" customFormat="false" ht="15" hidden="false" customHeight="false" outlineLevel="0" collapsed="false">
      <c r="A13" s="4" t="s">
        <v>217</v>
      </c>
      <c r="B13" s="4" t="s">
        <v>203</v>
      </c>
      <c r="C13" s="4" t="s">
        <v>23</v>
      </c>
      <c r="D13" s="4" t="n">
        <v>80</v>
      </c>
      <c r="E13" s="4" t="n">
        <v>140</v>
      </c>
      <c r="F13" s="5" t="n">
        <f aca="false">IF(D13&gt;0,E13/D13,0)</f>
        <v>1.75</v>
      </c>
      <c r="G13" s="4" t="n">
        <v>62</v>
      </c>
      <c r="H13" s="6" t="n">
        <v>17232</v>
      </c>
      <c r="I13" s="4" t="s">
        <v>218</v>
      </c>
      <c r="J13" s="4" t="n">
        <v>139</v>
      </c>
      <c r="K13" s="4" t="str">
        <f aca="false">IF(J13&lt;=30,"🔴 NOW",IF(J13&lt;=60,"🟠 Soon",IF(J13&lt;=90,"🟡 Q1",IF(J13&lt;=180,"🟢 Q2","⚪ Later"))))</f>
        <v>🟢 Q2</v>
      </c>
      <c r="L13" s="7" t="n">
        <v>0</v>
      </c>
      <c r="M13" s="8" t="n">
        <f aca="false">IF(B13="Defined Group",5,4)</f>
        <v>5</v>
      </c>
      <c r="N13" s="8" t="n">
        <f aca="false">IF(C13="Extra Green",25,IF(C13="Green",20,IF(C13="Yellow",8,IF(C13="Red",3,0))))</f>
        <v>3</v>
      </c>
      <c r="O13" s="8" t="n">
        <f aca="false">IF(F13&gt;=1,18,IF(F13&gt;=0.95,16,IF(F13&gt;=0.9,14,IF(F13&gt;=0.8,10,IF(F13&gt;=0.7,6,2)))))</f>
        <v>18</v>
      </c>
      <c r="P13" s="8" t="n">
        <f aca="false">IF(L13=0,0,IF(L13&gt;=50,25,IF(L13&gt;=30,22,IF(L13&gt;=20,18,IF(L13&gt;=10,14,IF(L13&gt;=5,10,5))))))</f>
        <v>0</v>
      </c>
      <c r="Q13" s="8" t="n">
        <f aca="false">IF(H13&gt;=25000,10,IF(H13&gt;=15000,8,IF(H13&gt;=10000,6,IF(H13&gt;=5000,4,2))))</f>
        <v>8</v>
      </c>
      <c r="R13" s="8" t="n">
        <f aca="false">IF(J13&lt;=30,20,IF(J13&lt;=60,17,IF(J13&lt;=90,14,IF(J13&lt;=120,10,IF(J13&lt;=180,5,2)))))</f>
        <v>5</v>
      </c>
      <c r="S13" s="9" t="n">
        <f aca="false">IF(L13=0,0,M13+N13+O13+P13+Q13+R13)</f>
        <v>0</v>
      </c>
      <c r="T13" s="8" t="str">
        <f aca="false">IF(L13=0,"Need Hex Data",IF(S13&gt;=75,"Tier 1",IF(S13&gt;=55,"Tier 2",IF(S13&gt;=35,"Tier 3","Below Threshold"))))</f>
        <v>Need Hex Data</v>
      </c>
    </row>
    <row r="14" customFormat="false" ht="15" hidden="false" customHeight="false" outlineLevel="0" collapsed="false">
      <c r="A14" s="4" t="s">
        <v>219</v>
      </c>
      <c r="B14" s="4" t="s">
        <v>203</v>
      </c>
      <c r="C14" s="4" t="s">
        <v>43</v>
      </c>
      <c r="D14" s="4" t="n">
        <v>99</v>
      </c>
      <c r="E14" s="4" t="n">
        <v>128</v>
      </c>
      <c r="F14" s="5" t="n">
        <f aca="false">IF(D14&gt;0,E14/D14,0)</f>
        <v>1.29292929292929</v>
      </c>
      <c r="G14" s="4" t="n">
        <v>80</v>
      </c>
      <c r="H14" s="6" t="n">
        <v>21324.6</v>
      </c>
      <c r="I14" s="4" t="s">
        <v>220</v>
      </c>
      <c r="J14" s="4" t="n">
        <v>142</v>
      </c>
      <c r="K14" s="4" t="str">
        <f aca="false">IF(J14&lt;=30,"🔴 NOW",IF(J14&lt;=60,"🟠 Soon",IF(J14&lt;=90,"🟡 Q1",IF(J14&lt;=180,"🟢 Q2","⚪ Later"))))</f>
        <v>🟢 Q2</v>
      </c>
      <c r="L14" s="7" t="n">
        <v>0</v>
      </c>
      <c r="M14" s="8" t="n">
        <f aca="false">IF(B14="Defined Group",5,4)</f>
        <v>5</v>
      </c>
      <c r="N14" s="8" t="n">
        <f aca="false">IF(C14="Extra Green",25,IF(C14="Green",20,IF(C14="Yellow",8,IF(C14="Red",3,0))))</f>
        <v>8</v>
      </c>
      <c r="O14" s="8" t="n">
        <f aca="false">IF(F14&gt;=1,18,IF(F14&gt;=0.95,16,IF(F14&gt;=0.9,14,IF(F14&gt;=0.8,10,IF(F14&gt;=0.7,6,2)))))</f>
        <v>18</v>
      </c>
      <c r="P14" s="8" t="n">
        <f aca="false">IF(L14=0,0,IF(L14&gt;=50,25,IF(L14&gt;=30,22,IF(L14&gt;=20,18,IF(L14&gt;=10,14,IF(L14&gt;=5,10,5))))))</f>
        <v>0</v>
      </c>
      <c r="Q14" s="8" t="n">
        <f aca="false">IF(H14&gt;=25000,10,IF(H14&gt;=15000,8,IF(H14&gt;=10000,6,IF(H14&gt;=5000,4,2))))</f>
        <v>8</v>
      </c>
      <c r="R14" s="8" t="n">
        <f aca="false">IF(J14&lt;=30,20,IF(J14&lt;=60,17,IF(J14&lt;=90,14,IF(J14&lt;=120,10,IF(J14&lt;=180,5,2)))))</f>
        <v>5</v>
      </c>
      <c r="S14" s="9" t="n">
        <f aca="false">IF(L14=0,0,M14+N14+O14+P14+Q14+R14)</f>
        <v>0</v>
      </c>
      <c r="T14" s="8" t="str">
        <f aca="false">IF(L14=0,"Need Hex Data",IF(S14&gt;=75,"Tier 1",IF(S14&gt;=55,"Tier 2",IF(S14&gt;=35,"Tier 3","Below Threshold"))))</f>
        <v>Need Hex Data</v>
      </c>
    </row>
    <row r="15" customFormat="false" ht="15" hidden="false" customHeight="false" outlineLevel="0" collapsed="false">
      <c r="A15" s="4" t="s">
        <v>221</v>
      </c>
      <c r="B15" s="4" t="s">
        <v>203</v>
      </c>
      <c r="C15" s="4" t="s">
        <v>222</v>
      </c>
      <c r="D15" s="4" t="n">
        <v>33</v>
      </c>
      <c r="E15" s="4" t="n">
        <v>89</v>
      </c>
      <c r="F15" s="5" t="n">
        <f aca="false">IF(D15&gt;0,E15/D15,0)</f>
        <v>2.6969696969697</v>
      </c>
      <c r="G15" s="4" t="n">
        <v>63</v>
      </c>
      <c r="H15" s="6" t="n">
        <v>7108.2</v>
      </c>
      <c r="I15" s="4" t="s">
        <v>223</v>
      </c>
      <c r="J15" s="4" t="n">
        <v>147</v>
      </c>
      <c r="K15" s="4" t="str">
        <f aca="false">IF(J15&lt;=30,"🔴 NOW",IF(J15&lt;=60,"🟠 Soon",IF(J15&lt;=90,"🟡 Q1",IF(J15&lt;=180,"🟢 Q2","⚪ Later"))))</f>
        <v>🟢 Q2</v>
      </c>
      <c r="L15" s="7" t="n">
        <v>0</v>
      </c>
      <c r="M15" s="8" t="n">
        <f aca="false">IF(B15="Defined Group",5,4)</f>
        <v>5</v>
      </c>
      <c r="N15" s="8" t="n">
        <f aca="false">IF(C15="Extra Green",25,IF(C15="Green",20,IF(C15="Yellow",8,IF(C15="Red",3,0))))</f>
        <v>25</v>
      </c>
      <c r="O15" s="8" t="n">
        <f aca="false">IF(F15&gt;=1,18,IF(F15&gt;=0.95,16,IF(F15&gt;=0.9,14,IF(F15&gt;=0.8,10,IF(F15&gt;=0.7,6,2)))))</f>
        <v>18</v>
      </c>
      <c r="P15" s="8" t="n">
        <f aca="false">IF(L15=0,0,IF(L15&gt;=50,25,IF(L15&gt;=30,22,IF(L15&gt;=20,18,IF(L15&gt;=10,14,IF(L15&gt;=5,10,5))))))</f>
        <v>0</v>
      </c>
      <c r="Q15" s="8" t="n">
        <f aca="false">IF(H15&gt;=25000,10,IF(H15&gt;=15000,8,IF(H15&gt;=10000,6,IF(H15&gt;=5000,4,2))))</f>
        <v>4</v>
      </c>
      <c r="R15" s="8" t="n">
        <f aca="false">IF(J15&lt;=30,20,IF(J15&lt;=60,17,IF(J15&lt;=90,14,IF(J15&lt;=120,10,IF(J15&lt;=180,5,2)))))</f>
        <v>5</v>
      </c>
      <c r="S15" s="9" t="n">
        <f aca="false">IF(L15=0,0,M15+N15+O15+P15+Q15+R15)</f>
        <v>0</v>
      </c>
      <c r="T15" s="8" t="str">
        <f aca="false">IF(L15=0,"Need Hex Data",IF(S15&gt;=75,"Tier 1",IF(S15&gt;=55,"Tier 2",IF(S15&gt;=35,"Tier 3","Below Threshold"))))</f>
        <v>Need Hex Data</v>
      </c>
    </row>
    <row r="16" customFormat="false" ht="15" hidden="false" customHeight="false" outlineLevel="0" collapsed="false">
      <c r="A16" s="4" t="s">
        <v>224</v>
      </c>
      <c r="B16" s="4" t="s">
        <v>203</v>
      </c>
      <c r="C16" s="4" t="s">
        <v>23</v>
      </c>
      <c r="D16" s="4" t="n">
        <v>39</v>
      </c>
      <c r="E16" s="4" t="n">
        <v>48</v>
      </c>
      <c r="F16" s="5" t="n">
        <f aca="false">IF(D16&gt;0,E16/D16,0)</f>
        <v>1.23076923076923</v>
      </c>
      <c r="G16" s="4" t="n">
        <v>21</v>
      </c>
      <c r="H16" s="6" t="n">
        <v>8400.6</v>
      </c>
      <c r="I16" s="4" t="s">
        <v>225</v>
      </c>
      <c r="J16" s="4" t="n">
        <v>161</v>
      </c>
      <c r="K16" s="4" t="str">
        <f aca="false">IF(J16&lt;=30,"🔴 NOW",IF(J16&lt;=60,"🟠 Soon",IF(J16&lt;=90,"🟡 Q1",IF(J16&lt;=180,"🟢 Q2","⚪ Later"))))</f>
        <v>🟢 Q2</v>
      </c>
      <c r="L16" s="7" t="n">
        <v>0</v>
      </c>
      <c r="M16" s="8" t="n">
        <f aca="false">IF(B16="Defined Group",5,4)</f>
        <v>5</v>
      </c>
      <c r="N16" s="8" t="n">
        <f aca="false">IF(C16="Extra Green",25,IF(C16="Green",20,IF(C16="Yellow",8,IF(C16="Red",3,0))))</f>
        <v>3</v>
      </c>
      <c r="O16" s="8" t="n">
        <f aca="false">IF(F16&gt;=1,18,IF(F16&gt;=0.95,16,IF(F16&gt;=0.9,14,IF(F16&gt;=0.8,10,IF(F16&gt;=0.7,6,2)))))</f>
        <v>18</v>
      </c>
      <c r="P16" s="8" t="n">
        <f aca="false">IF(L16=0,0,IF(L16&gt;=50,25,IF(L16&gt;=30,22,IF(L16&gt;=20,18,IF(L16&gt;=10,14,IF(L16&gt;=5,10,5))))))</f>
        <v>0</v>
      </c>
      <c r="Q16" s="8" t="n">
        <f aca="false">IF(H16&gt;=25000,10,IF(H16&gt;=15000,8,IF(H16&gt;=10000,6,IF(H16&gt;=5000,4,2))))</f>
        <v>4</v>
      </c>
      <c r="R16" s="8" t="n">
        <f aca="false">IF(J16&lt;=30,20,IF(J16&lt;=60,17,IF(J16&lt;=90,14,IF(J16&lt;=120,10,IF(J16&lt;=180,5,2)))))</f>
        <v>5</v>
      </c>
      <c r="S16" s="9" t="n">
        <f aca="false">IF(L16=0,0,M16+N16+O16+P16+Q16+R16)</f>
        <v>0</v>
      </c>
      <c r="T16" s="8" t="str">
        <f aca="false">IF(L16=0,"Need Hex Data",IF(S16&gt;=75,"Tier 1",IF(S16&gt;=55,"Tier 2",IF(S16&gt;=35,"Tier 3","Below Threshold"))))</f>
        <v>Need Hex Data</v>
      </c>
    </row>
    <row r="17" customFormat="false" ht="15" hidden="false" customHeight="false" outlineLevel="0" collapsed="false">
      <c r="A17" s="4" t="s">
        <v>226</v>
      </c>
      <c r="B17" s="4" t="s">
        <v>203</v>
      </c>
      <c r="C17" s="4" t="s">
        <v>23</v>
      </c>
      <c r="D17" s="4" t="n">
        <v>100</v>
      </c>
      <c r="E17" s="4" t="n">
        <v>128</v>
      </c>
      <c r="F17" s="5" t="n">
        <f aca="false">IF(D17&gt;0,E17/D17,0)</f>
        <v>1.28</v>
      </c>
      <c r="G17" s="4" t="n">
        <v>52</v>
      </c>
      <c r="H17" s="6" t="n">
        <v>18840</v>
      </c>
      <c r="I17" s="4" t="s">
        <v>227</v>
      </c>
      <c r="J17" s="4" t="n">
        <v>170</v>
      </c>
      <c r="K17" s="4" t="str">
        <f aca="false">IF(J17&lt;=30,"🔴 NOW",IF(J17&lt;=60,"🟠 Soon",IF(J17&lt;=90,"🟡 Q1",IF(J17&lt;=180,"🟢 Q2","⚪ Later"))))</f>
        <v>🟢 Q2</v>
      </c>
      <c r="L17" s="7" t="n">
        <v>0</v>
      </c>
      <c r="M17" s="8" t="n">
        <f aca="false">IF(B17="Defined Group",5,4)</f>
        <v>5</v>
      </c>
      <c r="N17" s="8" t="n">
        <f aca="false">IF(C17="Extra Green",25,IF(C17="Green",20,IF(C17="Yellow",8,IF(C17="Red",3,0))))</f>
        <v>3</v>
      </c>
      <c r="O17" s="8" t="n">
        <f aca="false">IF(F17&gt;=1,18,IF(F17&gt;=0.95,16,IF(F17&gt;=0.9,14,IF(F17&gt;=0.8,10,IF(F17&gt;=0.7,6,2)))))</f>
        <v>18</v>
      </c>
      <c r="P17" s="8" t="n">
        <f aca="false">IF(L17=0,0,IF(L17&gt;=50,25,IF(L17&gt;=30,22,IF(L17&gt;=20,18,IF(L17&gt;=10,14,IF(L17&gt;=5,10,5))))))</f>
        <v>0</v>
      </c>
      <c r="Q17" s="8" t="n">
        <f aca="false">IF(H17&gt;=25000,10,IF(H17&gt;=15000,8,IF(H17&gt;=10000,6,IF(H17&gt;=5000,4,2))))</f>
        <v>8</v>
      </c>
      <c r="R17" s="8" t="n">
        <f aca="false">IF(J17&lt;=30,20,IF(J17&lt;=60,17,IF(J17&lt;=90,14,IF(J17&lt;=120,10,IF(J17&lt;=180,5,2)))))</f>
        <v>5</v>
      </c>
      <c r="S17" s="9" t="n">
        <f aca="false">IF(L17=0,0,M17+N17+O17+P17+Q17+R17)</f>
        <v>0</v>
      </c>
      <c r="T17" s="8" t="str">
        <f aca="false">IF(L17=0,"Need Hex Data",IF(S17&gt;=75,"Tier 1",IF(S17&gt;=55,"Tier 2",IF(S17&gt;=35,"Tier 3","Below Threshold"))))</f>
        <v>Need Hex Data</v>
      </c>
    </row>
    <row r="18" customFormat="false" ht="15" hidden="false" customHeight="false" outlineLevel="0" collapsed="false">
      <c r="A18" s="4" t="s">
        <v>228</v>
      </c>
      <c r="B18" s="4" t="s">
        <v>203</v>
      </c>
      <c r="C18" s="4" t="s">
        <v>43</v>
      </c>
      <c r="D18" s="4" t="n">
        <v>28</v>
      </c>
      <c r="E18" s="4" t="n">
        <v>34</v>
      </c>
      <c r="F18" s="5" t="n">
        <f aca="false">IF(D18&gt;0,E18/D18,0)</f>
        <v>1.21428571428571</v>
      </c>
      <c r="G18" s="4" t="n">
        <v>25</v>
      </c>
      <c r="H18" s="6" t="n">
        <v>6031.2</v>
      </c>
      <c r="I18" s="4" t="s">
        <v>227</v>
      </c>
      <c r="J18" s="4" t="n">
        <v>170</v>
      </c>
      <c r="K18" s="4" t="str">
        <f aca="false">IF(J18&lt;=30,"🔴 NOW",IF(J18&lt;=60,"🟠 Soon",IF(J18&lt;=90,"🟡 Q1",IF(J18&lt;=180,"🟢 Q2","⚪ Later"))))</f>
        <v>🟢 Q2</v>
      </c>
      <c r="L18" s="7" t="n">
        <v>0</v>
      </c>
      <c r="M18" s="8" t="n">
        <f aca="false">IF(B18="Defined Group",5,4)</f>
        <v>5</v>
      </c>
      <c r="N18" s="8" t="n">
        <f aca="false">IF(C18="Extra Green",25,IF(C18="Green",20,IF(C18="Yellow",8,IF(C18="Red",3,0))))</f>
        <v>8</v>
      </c>
      <c r="O18" s="8" t="n">
        <f aca="false">IF(F18&gt;=1,18,IF(F18&gt;=0.95,16,IF(F18&gt;=0.9,14,IF(F18&gt;=0.8,10,IF(F18&gt;=0.7,6,2)))))</f>
        <v>18</v>
      </c>
      <c r="P18" s="8" t="n">
        <f aca="false">IF(L18=0,0,IF(L18&gt;=50,25,IF(L18&gt;=30,22,IF(L18&gt;=20,18,IF(L18&gt;=10,14,IF(L18&gt;=5,10,5))))))</f>
        <v>0</v>
      </c>
      <c r="Q18" s="8" t="n">
        <f aca="false">IF(H18&gt;=25000,10,IF(H18&gt;=15000,8,IF(H18&gt;=10000,6,IF(H18&gt;=5000,4,2))))</f>
        <v>4</v>
      </c>
      <c r="R18" s="8" t="n">
        <f aca="false">IF(J18&lt;=30,20,IF(J18&lt;=60,17,IF(J18&lt;=90,14,IF(J18&lt;=120,10,IF(J18&lt;=180,5,2)))))</f>
        <v>5</v>
      </c>
      <c r="S18" s="9" t="n">
        <f aca="false">IF(L18=0,0,M18+N18+O18+P18+Q18+R18)</f>
        <v>0</v>
      </c>
      <c r="T18" s="8" t="str">
        <f aca="false">IF(L18=0,"Need Hex Data",IF(S18&gt;=75,"Tier 1",IF(S18&gt;=55,"Tier 2",IF(S18&gt;=35,"Tier 3","Below Threshold"))))</f>
        <v>Need Hex Data</v>
      </c>
    </row>
    <row r="19" customFormat="false" ht="15" hidden="false" customHeight="false" outlineLevel="0" collapsed="false">
      <c r="A19" s="4" t="s">
        <v>229</v>
      </c>
      <c r="B19" s="4" t="s">
        <v>203</v>
      </c>
      <c r="C19" s="4" t="s">
        <v>43</v>
      </c>
      <c r="D19" s="4" t="n">
        <v>40</v>
      </c>
      <c r="E19" s="4" t="n">
        <v>64</v>
      </c>
      <c r="F19" s="5" t="n">
        <f aca="false">IF(D19&gt;0,E19/D19,0)</f>
        <v>1.6</v>
      </c>
      <c r="G19" s="4" t="n">
        <v>29</v>
      </c>
      <c r="H19" s="6" t="n">
        <v>8616</v>
      </c>
      <c r="I19" s="4" t="s">
        <v>230</v>
      </c>
      <c r="J19" s="4" t="n">
        <v>178</v>
      </c>
      <c r="K19" s="4" t="str">
        <f aca="false">IF(J19&lt;=30,"🔴 NOW",IF(J19&lt;=60,"🟠 Soon",IF(J19&lt;=90,"🟡 Q1",IF(J19&lt;=180,"🟢 Q2","⚪ Later"))))</f>
        <v>🟢 Q2</v>
      </c>
      <c r="L19" s="7" t="n">
        <v>0</v>
      </c>
      <c r="M19" s="8" t="n">
        <f aca="false">IF(B19="Defined Group",5,4)</f>
        <v>5</v>
      </c>
      <c r="N19" s="8" t="n">
        <f aca="false">IF(C19="Extra Green",25,IF(C19="Green",20,IF(C19="Yellow",8,IF(C19="Red",3,0))))</f>
        <v>8</v>
      </c>
      <c r="O19" s="8" t="n">
        <f aca="false">IF(F19&gt;=1,18,IF(F19&gt;=0.95,16,IF(F19&gt;=0.9,14,IF(F19&gt;=0.8,10,IF(F19&gt;=0.7,6,2)))))</f>
        <v>18</v>
      </c>
      <c r="P19" s="8" t="n">
        <f aca="false">IF(L19=0,0,IF(L19&gt;=50,25,IF(L19&gt;=30,22,IF(L19&gt;=20,18,IF(L19&gt;=10,14,IF(L19&gt;=5,10,5))))))</f>
        <v>0</v>
      </c>
      <c r="Q19" s="8" t="n">
        <f aca="false">IF(H19&gt;=25000,10,IF(H19&gt;=15000,8,IF(H19&gt;=10000,6,IF(H19&gt;=5000,4,2))))</f>
        <v>4</v>
      </c>
      <c r="R19" s="8" t="n">
        <f aca="false">IF(J19&lt;=30,20,IF(J19&lt;=60,17,IF(J19&lt;=90,14,IF(J19&lt;=120,10,IF(J19&lt;=180,5,2)))))</f>
        <v>5</v>
      </c>
      <c r="S19" s="9" t="n">
        <f aca="false">IF(L19=0,0,M19+N19+O19+P19+Q19+R19)</f>
        <v>0</v>
      </c>
      <c r="T19" s="8" t="str">
        <f aca="false">IF(L19=0,"Need Hex Data",IF(S19&gt;=75,"Tier 1",IF(S19&gt;=55,"Tier 2",IF(S19&gt;=35,"Tier 3","Below Threshold"))))</f>
        <v>Need Hex Data</v>
      </c>
    </row>
    <row r="20" customFormat="false" ht="15" hidden="false" customHeight="false" outlineLevel="0" collapsed="false">
      <c r="A20" s="4" t="s">
        <v>231</v>
      </c>
      <c r="B20" s="4" t="s">
        <v>203</v>
      </c>
      <c r="C20" s="4" t="s">
        <v>23</v>
      </c>
      <c r="D20" s="4" t="n">
        <v>44</v>
      </c>
      <c r="E20" s="4" t="n">
        <v>58</v>
      </c>
      <c r="F20" s="5" t="n">
        <f aca="false">IF(D20&gt;0,E20/D20,0)</f>
        <v>1.31818181818182</v>
      </c>
      <c r="G20" s="4" t="n">
        <v>23</v>
      </c>
      <c r="H20" s="6" t="n">
        <v>9477.6</v>
      </c>
      <c r="I20" s="4" t="s">
        <v>232</v>
      </c>
      <c r="J20" s="4" t="n">
        <v>191</v>
      </c>
      <c r="K20" s="4" t="str">
        <f aca="false">IF(J20&lt;=30,"🔴 NOW",IF(J20&lt;=60,"🟠 Soon",IF(J20&lt;=90,"🟡 Q1",IF(J20&lt;=180,"🟢 Q2","⚪ Later"))))</f>
        <v>⚪ Later</v>
      </c>
      <c r="L20" s="7" t="n">
        <v>0</v>
      </c>
      <c r="M20" s="8" t="n">
        <f aca="false">IF(B20="Defined Group",5,4)</f>
        <v>5</v>
      </c>
      <c r="N20" s="8" t="n">
        <f aca="false">IF(C20="Extra Green",25,IF(C20="Green",20,IF(C20="Yellow",8,IF(C20="Red",3,0))))</f>
        <v>3</v>
      </c>
      <c r="O20" s="8" t="n">
        <f aca="false">IF(F20&gt;=1,18,IF(F20&gt;=0.95,16,IF(F20&gt;=0.9,14,IF(F20&gt;=0.8,10,IF(F20&gt;=0.7,6,2)))))</f>
        <v>18</v>
      </c>
      <c r="P20" s="8" t="n">
        <f aca="false">IF(L20=0,0,IF(L20&gt;=50,25,IF(L20&gt;=30,22,IF(L20&gt;=20,18,IF(L20&gt;=10,14,IF(L20&gt;=5,10,5))))))</f>
        <v>0</v>
      </c>
      <c r="Q20" s="8" t="n">
        <f aca="false">IF(H20&gt;=25000,10,IF(H20&gt;=15000,8,IF(H20&gt;=10000,6,IF(H20&gt;=5000,4,2))))</f>
        <v>4</v>
      </c>
      <c r="R20" s="8" t="n">
        <f aca="false">IF(J20&lt;=30,20,IF(J20&lt;=60,17,IF(J20&lt;=90,14,IF(J20&lt;=120,10,IF(J20&lt;=180,5,2)))))</f>
        <v>2</v>
      </c>
      <c r="S20" s="9" t="n">
        <f aca="false">IF(L20=0,0,M20+N20+O20+P20+Q20+R20)</f>
        <v>0</v>
      </c>
      <c r="T20" s="8" t="str">
        <f aca="false">IF(L20=0,"Need Hex Data",IF(S20&gt;=75,"Tier 1",IF(S20&gt;=55,"Tier 2",IF(S20&gt;=35,"Tier 3","Below Threshold"))))</f>
        <v>Need Hex Data</v>
      </c>
    </row>
    <row r="21" customFormat="false" ht="15" hidden="false" customHeight="false" outlineLevel="0" collapsed="false">
      <c r="A21" s="4" t="s">
        <v>233</v>
      </c>
      <c r="B21" s="4" t="s">
        <v>203</v>
      </c>
      <c r="C21" s="4" t="s">
        <v>23</v>
      </c>
      <c r="D21" s="4" t="n">
        <v>53</v>
      </c>
      <c r="E21" s="4" t="n">
        <v>82</v>
      </c>
      <c r="F21" s="5" t="n">
        <f aca="false">IF(D21&gt;0,E21/D21,0)</f>
        <v>1.54716981132075</v>
      </c>
      <c r="G21" s="4" t="n">
        <v>32</v>
      </c>
      <c r="H21" s="6" t="n">
        <v>10568.2</v>
      </c>
      <c r="I21" s="4" t="s">
        <v>117</v>
      </c>
      <c r="J21" s="4" t="n">
        <v>192</v>
      </c>
      <c r="K21" s="4" t="str">
        <f aca="false">IF(J21&lt;=30,"🔴 NOW",IF(J21&lt;=60,"🟠 Soon",IF(J21&lt;=90,"🟡 Q1",IF(J21&lt;=180,"🟢 Q2","⚪ Later"))))</f>
        <v>⚪ Later</v>
      </c>
      <c r="L21" s="7" t="n">
        <v>0</v>
      </c>
      <c r="M21" s="8" t="n">
        <f aca="false">IF(B21="Defined Group",5,4)</f>
        <v>5</v>
      </c>
      <c r="N21" s="8" t="n">
        <f aca="false">IF(C21="Extra Green",25,IF(C21="Green",20,IF(C21="Yellow",8,IF(C21="Red",3,0))))</f>
        <v>3</v>
      </c>
      <c r="O21" s="8" t="n">
        <f aca="false">IF(F21&gt;=1,18,IF(F21&gt;=0.95,16,IF(F21&gt;=0.9,14,IF(F21&gt;=0.8,10,IF(F21&gt;=0.7,6,2)))))</f>
        <v>18</v>
      </c>
      <c r="P21" s="8" t="n">
        <f aca="false">IF(L21=0,0,IF(L21&gt;=50,25,IF(L21&gt;=30,22,IF(L21&gt;=20,18,IF(L21&gt;=10,14,IF(L21&gt;=5,10,5))))))</f>
        <v>0</v>
      </c>
      <c r="Q21" s="8" t="n">
        <f aca="false">IF(H21&gt;=25000,10,IF(H21&gt;=15000,8,IF(H21&gt;=10000,6,IF(H21&gt;=5000,4,2))))</f>
        <v>6</v>
      </c>
      <c r="R21" s="8" t="n">
        <f aca="false">IF(J21&lt;=30,20,IF(J21&lt;=60,17,IF(J21&lt;=90,14,IF(J21&lt;=120,10,IF(J21&lt;=180,5,2)))))</f>
        <v>2</v>
      </c>
      <c r="S21" s="9" t="n">
        <f aca="false">IF(L21=0,0,M21+N21+O21+P21+Q21+R21)</f>
        <v>0</v>
      </c>
      <c r="T21" s="8" t="str">
        <f aca="false">IF(L21=0,"Need Hex Data",IF(S21&gt;=75,"Tier 1",IF(S21&gt;=55,"Tier 2",IF(S21&gt;=35,"Tier 3","Below Threshold"))))</f>
        <v>Need Hex Data</v>
      </c>
    </row>
    <row r="22" customFormat="false" ht="15" hidden="false" customHeight="false" outlineLevel="0" collapsed="false">
      <c r="A22" s="4" t="s">
        <v>234</v>
      </c>
      <c r="B22" s="4" t="s">
        <v>203</v>
      </c>
      <c r="C22" s="4" t="s">
        <v>43</v>
      </c>
      <c r="D22" s="4" t="n">
        <v>34</v>
      </c>
      <c r="E22" s="4" t="n">
        <v>36</v>
      </c>
      <c r="F22" s="5" t="n">
        <f aca="false">IF(D22&gt;0,E22/D22,0)</f>
        <v>1.05882352941176</v>
      </c>
      <c r="G22" s="4" t="n">
        <v>28</v>
      </c>
      <c r="H22" s="6" t="n">
        <v>7323.6</v>
      </c>
      <c r="I22" s="4" t="s">
        <v>235</v>
      </c>
      <c r="J22" s="4" t="n">
        <v>197</v>
      </c>
      <c r="K22" s="4" t="str">
        <f aca="false">IF(J22&lt;=30,"🔴 NOW",IF(J22&lt;=60,"🟠 Soon",IF(J22&lt;=90,"🟡 Q1",IF(J22&lt;=180,"🟢 Q2","⚪ Later"))))</f>
        <v>⚪ Later</v>
      </c>
      <c r="L22" s="7" t="n">
        <v>0</v>
      </c>
      <c r="M22" s="8" t="n">
        <f aca="false">IF(B22="Defined Group",5,4)</f>
        <v>5</v>
      </c>
      <c r="N22" s="8" t="n">
        <f aca="false">IF(C22="Extra Green",25,IF(C22="Green",20,IF(C22="Yellow",8,IF(C22="Red",3,0))))</f>
        <v>8</v>
      </c>
      <c r="O22" s="8" t="n">
        <f aca="false">IF(F22&gt;=1,18,IF(F22&gt;=0.95,16,IF(F22&gt;=0.9,14,IF(F22&gt;=0.8,10,IF(F22&gt;=0.7,6,2)))))</f>
        <v>18</v>
      </c>
      <c r="P22" s="8" t="n">
        <f aca="false">IF(L22=0,0,IF(L22&gt;=50,25,IF(L22&gt;=30,22,IF(L22&gt;=20,18,IF(L22&gt;=10,14,IF(L22&gt;=5,10,5))))))</f>
        <v>0</v>
      </c>
      <c r="Q22" s="8" t="n">
        <f aca="false">IF(H22&gt;=25000,10,IF(H22&gt;=15000,8,IF(H22&gt;=10000,6,IF(H22&gt;=5000,4,2))))</f>
        <v>4</v>
      </c>
      <c r="R22" s="8" t="n">
        <f aca="false">IF(J22&lt;=30,20,IF(J22&lt;=60,17,IF(J22&lt;=90,14,IF(J22&lt;=120,10,IF(J22&lt;=180,5,2)))))</f>
        <v>2</v>
      </c>
      <c r="S22" s="9" t="n">
        <f aca="false">IF(L22=0,0,M22+N22+O22+P22+Q22+R22)</f>
        <v>0</v>
      </c>
      <c r="T22" s="8" t="str">
        <f aca="false">IF(L22=0,"Need Hex Data",IF(S22&gt;=75,"Tier 1",IF(S22&gt;=55,"Tier 2",IF(S22&gt;=35,"Tier 3","Below Threshold"))))</f>
        <v>Need Hex Data</v>
      </c>
    </row>
    <row r="23" customFormat="false" ht="15" hidden="false" customHeight="false" outlineLevel="0" collapsed="false">
      <c r="A23" s="4" t="s">
        <v>236</v>
      </c>
      <c r="B23" s="4" t="s">
        <v>203</v>
      </c>
      <c r="C23" s="4" t="s">
        <v>23</v>
      </c>
      <c r="D23" s="4" t="n">
        <v>38</v>
      </c>
      <c r="E23" s="4" t="n">
        <v>31</v>
      </c>
      <c r="F23" s="5" t="n">
        <f aca="false">IF(D23&gt;0,E23/D23,0)</f>
        <v>0.815789473684211</v>
      </c>
      <c r="G23" s="4" t="n">
        <v>22</v>
      </c>
      <c r="H23" s="6" t="n">
        <v>8185.2</v>
      </c>
      <c r="I23" s="4" t="s">
        <v>237</v>
      </c>
      <c r="J23" s="4" t="n">
        <v>204</v>
      </c>
      <c r="K23" s="4" t="str">
        <f aca="false">IF(J23&lt;=30,"🔴 NOW",IF(J23&lt;=60,"🟠 Soon",IF(J23&lt;=90,"🟡 Q1",IF(J23&lt;=180,"🟢 Q2","⚪ Later"))))</f>
        <v>⚪ Later</v>
      </c>
      <c r="L23" s="7" t="n">
        <v>0</v>
      </c>
      <c r="M23" s="8" t="n">
        <f aca="false">IF(B23="Defined Group",5,4)</f>
        <v>5</v>
      </c>
      <c r="N23" s="8" t="n">
        <f aca="false">IF(C23="Extra Green",25,IF(C23="Green",20,IF(C23="Yellow",8,IF(C23="Red",3,0))))</f>
        <v>3</v>
      </c>
      <c r="O23" s="8" t="n">
        <f aca="false">IF(F23&gt;=1,18,IF(F23&gt;=0.95,16,IF(F23&gt;=0.9,14,IF(F23&gt;=0.8,10,IF(F23&gt;=0.7,6,2)))))</f>
        <v>10</v>
      </c>
      <c r="P23" s="8" t="n">
        <f aca="false">IF(L23=0,0,IF(L23&gt;=50,25,IF(L23&gt;=30,22,IF(L23&gt;=20,18,IF(L23&gt;=10,14,IF(L23&gt;=5,10,5))))))</f>
        <v>0</v>
      </c>
      <c r="Q23" s="8" t="n">
        <f aca="false">IF(H23&gt;=25000,10,IF(H23&gt;=15000,8,IF(H23&gt;=10000,6,IF(H23&gt;=5000,4,2))))</f>
        <v>4</v>
      </c>
      <c r="R23" s="8" t="n">
        <f aca="false">IF(J23&lt;=30,20,IF(J23&lt;=60,17,IF(J23&lt;=90,14,IF(J23&lt;=120,10,IF(J23&lt;=180,5,2)))))</f>
        <v>2</v>
      </c>
      <c r="S23" s="9" t="n">
        <f aca="false">IF(L23=0,0,M23+N23+O23+P23+Q23+R23)</f>
        <v>0</v>
      </c>
      <c r="T23" s="8" t="str">
        <f aca="false">IF(L23=0,"Need Hex Data",IF(S23&gt;=75,"Tier 1",IF(S23&gt;=55,"Tier 2",IF(S23&gt;=35,"Tier 3","Below Threshold"))))</f>
        <v>Need Hex Data</v>
      </c>
    </row>
    <row r="24" customFormat="false" ht="15" hidden="false" customHeight="false" outlineLevel="0" collapsed="false">
      <c r="A24" s="4" t="s">
        <v>238</v>
      </c>
      <c r="B24" s="4" t="s">
        <v>203</v>
      </c>
      <c r="C24" s="4" t="s">
        <v>43</v>
      </c>
      <c r="D24" s="4" t="n">
        <v>109</v>
      </c>
      <c r="E24" s="4" t="n">
        <v>142</v>
      </c>
      <c r="F24" s="5" t="n">
        <f aca="false">IF(D24&gt;0,E24/D24,0)</f>
        <v>1.30275229357798</v>
      </c>
      <c r="G24" s="4" t="n">
        <v>107</v>
      </c>
      <c r="H24" s="6" t="n">
        <v>22388.6</v>
      </c>
      <c r="I24" s="4" t="s">
        <v>239</v>
      </c>
      <c r="J24" s="4" t="n">
        <v>216</v>
      </c>
      <c r="K24" s="4" t="str">
        <f aca="false">IF(J24&lt;=30,"🔴 NOW",IF(J24&lt;=60,"🟠 Soon",IF(J24&lt;=90,"🟡 Q1",IF(J24&lt;=180,"🟢 Q2","⚪ Later"))))</f>
        <v>⚪ Later</v>
      </c>
      <c r="L24" s="7" t="n">
        <v>0</v>
      </c>
      <c r="M24" s="8" t="n">
        <f aca="false">IF(B24="Defined Group",5,4)</f>
        <v>5</v>
      </c>
      <c r="N24" s="8" t="n">
        <f aca="false">IF(C24="Extra Green",25,IF(C24="Green",20,IF(C24="Yellow",8,IF(C24="Red",3,0))))</f>
        <v>8</v>
      </c>
      <c r="O24" s="8" t="n">
        <f aca="false">IF(F24&gt;=1,18,IF(F24&gt;=0.95,16,IF(F24&gt;=0.9,14,IF(F24&gt;=0.8,10,IF(F24&gt;=0.7,6,2)))))</f>
        <v>18</v>
      </c>
      <c r="P24" s="8" t="n">
        <f aca="false">IF(L24=0,0,IF(L24&gt;=50,25,IF(L24&gt;=30,22,IF(L24&gt;=20,18,IF(L24&gt;=10,14,IF(L24&gt;=5,10,5))))))</f>
        <v>0</v>
      </c>
      <c r="Q24" s="8" t="n">
        <f aca="false">IF(H24&gt;=25000,10,IF(H24&gt;=15000,8,IF(H24&gt;=10000,6,IF(H24&gt;=5000,4,2))))</f>
        <v>8</v>
      </c>
      <c r="R24" s="8" t="n">
        <f aca="false">IF(J24&lt;=30,20,IF(J24&lt;=60,17,IF(J24&lt;=90,14,IF(J24&lt;=120,10,IF(J24&lt;=180,5,2)))))</f>
        <v>2</v>
      </c>
      <c r="S24" s="9" t="n">
        <f aca="false">IF(L24=0,0,M24+N24+O24+P24+Q24+R24)</f>
        <v>0</v>
      </c>
      <c r="T24" s="8" t="str">
        <f aca="false">IF(L24=0,"Need Hex Data",IF(S24&gt;=75,"Tier 1",IF(S24&gt;=55,"Tier 2",IF(S24&gt;=35,"Tier 3","Below Threshold"))))</f>
        <v>Need Hex Data</v>
      </c>
    </row>
    <row r="25" customFormat="false" ht="15" hidden="false" customHeight="false" outlineLevel="0" collapsed="false">
      <c r="A25" s="4" t="s">
        <v>240</v>
      </c>
      <c r="B25" s="4" t="s">
        <v>203</v>
      </c>
      <c r="C25" s="4" t="s">
        <v>23</v>
      </c>
      <c r="D25" s="4" t="n">
        <v>58</v>
      </c>
      <c r="E25" s="4" t="n">
        <v>73</v>
      </c>
      <c r="F25" s="5" t="n">
        <f aca="false">IF(D25&gt;0,E25/D25,0)</f>
        <v>1.25862068965517</v>
      </c>
      <c r="G25" s="4" t="n">
        <v>41</v>
      </c>
      <c r="H25" s="6" t="n">
        <v>12493.2</v>
      </c>
      <c r="I25" s="4" t="s">
        <v>241</v>
      </c>
      <c r="J25" s="4" t="n">
        <v>233</v>
      </c>
      <c r="K25" s="4" t="str">
        <f aca="false">IF(J25&lt;=30,"🔴 NOW",IF(J25&lt;=60,"🟠 Soon",IF(J25&lt;=90,"🟡 Q1",IF(J25&lt;=180,"🟢 Q2","⚪ Later"))))</f>
        <v>⚪ Later</v>
      </c>
      <c r="L25" s="7" t="n">
        <v>0</v>
      </c>
      <c r="M25" s="8" t="n">
        <f aca="false">IF(B25="Defined Group",5,4)</f>
        <v>5</v>
      </c>
      <c r="N25" s="8" t="n">
        <f aca="false">IF(C25="Extra Green",25,IF(C25="Green",20,IF(C25="Yellow",8,IF(C25="Red",3,0))))</f>
        <v>3</v>
      </c>
      <c r="O25" s="8" t="n">
        <f aca="false">IF(F25&gt;=1,18,IF(F25&gt;=0.95,16,IF(F25&gt;=0.9,14,IF(F25&gt;=0.8,10,IF(F25&gt;=0.7,6,2)))))</f>
        <v>18</v>
      </c>
      <c r="P25" s="8" t="n">
        <f aca="false">IF(L25=0,0,IF(L25&gt;=50,25,IF(L25&gt;=30,22,IF(L25&gt;=20,18,IF(L25&gt;=10,14,IF(L25&gt;=5,10,5))))))</f>
        <v>0</v>
      </c>
      <c r="Q25" s="8" t="n">
        <f aca="false">IF(H25&gt;=25000,10,IF(H25&gt;=15000,8,IF(H25&gt;=10000,6,IF(H25&gt;=5000,4,2))))</f>
        <v>6</v>
      </c>
      <c r="R25" s="8" t="n">
        <f aca="false">IF(J25&lt;=30,20,IF(J25&lt;=60,17,IF(J25&lt;=90,14,IF(J25&lt;=120,10,IF(J25&lt;=180,5,2)))))</f>
        <v>2</v>
      </c>
      <c r="S25" s="9" t="n">
        <f aca="false">IF(L25=0,0,M25+N25+O25+P25+Q25+R25)</f>
        <v>0</v>
      </c>
      <c r="T25" s="8" t="str">
        <f aca="false">IF(L25=0,"Need Hex Data",IF(S25&gt;=75,"Tier 1",IF(S25&gt;=55,"Tier 2",IF(S25&gt;=35,"Tier 3","Below Threshold"))))</f>
        <v>Need Hex Data</v>
      </c>
    </row>
    <row r="26" customFormat="false" ht="15" hidden="false" customHeight="false" outlineLevel="0" collapsed="false">
      <c r="A26" s="4" t="s">
        <v>242</v>
      </c>
      <c r="B26" s="4" t="s">
        <v>203</v>
      </c>
      <c r="C26" s="4" t="s">
        <v>43</v>
      </c>
      <c r="D26" s="4" t="n">
        <v>78</v>
      </c>
      <c r="E26" s="4" t="n">
        <v>140</v>
      </c>
      <c r="F26" s="5" t="n">
        <f aca="false">IF(D26&gt;0,E26/D26,0)</f>
        <v>1.7948717948718</v>
      </c>
      <c r="G26" s="4" t="n">
        <v>70</v>
      </c>
      <c r="H26" s="6" t="n">
        <v>16801.2</v>
      </c>
      <c r="I26" s="4" t="s">
        <v>243</v>
      </c>
      <c r="J26" s="4" t="n">
        <v>242</v>
      </c>
      <c r="K26" s="4" t="str">
        <f aca="false">IF(J26&lt;=30,"🔴 NOW",IF(J26&lt;=60,"🟠 Soon",IF(J26&lt;=90,"🟡 Q1",IF(J26&lt;=180,"🟢 Q2","⚪ Later"))))</f>
        <v>⚪ Later</v>
      </c>
      <c r="L26" s="7" t="n">
        <v>0</v>
      </c>
      <c r="M26" s="8" t="n">
        <f aca="false">IF(B26="Defined Group",5,4)</f>
        <v>5</v>
      </c>
      <c r="N26" s="8" t="n">
        <f aca="false">IF(C26="Extra Green",25,IF(C26="Green",20,IF(C26="Yellow",8,IF(C26="Red",3,0))))</f>
        <v>8</v>
      </c>
      <c r="O26" s="8" t="n">
        <f aca="false">IF(F26&gt;=1,18,IF(F26&gt;=0.95,16,IF(F26&gt;=0.9,14,IF(F26&gt;=0.8,10,IF(F26&gt;=0.7,6,2)))))</f>
        <v>18</v>
      </c>
      <c r="P26" s="8" t="n">
        <f aca="false">IF(L26=0,0,IF(L26&gt;=50,25,IF(L26&gt;=30,22,IF(L26&gt;=20,18,IF(L26&gt;=10,14,IF(L26&gt;=5,10,5))))))</f>
        <v>0</v>
      </c>
      <c r="Q26" s="8" t="n">
        <f aca="false">IF(H26&gt;=25000,10,IF(H26&gt;=15000,8,IF(H26&gt;=10000,6,IF(H26&gt;=5000,4,2))))</f>
        <v>8</v>
      </c>
      <c r="R26" s="8" t="n">
        <f aca="false">IF(J26&lt;=30,20,IF(J26&lt;=60,17,IF(J26&lt;=90,14,IF(J26&lt;=120,10,IF(J26&lt;=180,5,2)))))</f>
        <v>2</v>
      </c>
      <c r="S26" s="9" t="n">
        <f aca="false">IF(L26=0,0,M26+N26+O26+P26+Q26+R26)</f>
        <v>0</v>
      </c>
      <c r="T26" s="8" t="str">
        <f aca="false">IF(L26=0,"Need Hex Data",IF(S26&gt;=75,"Tier 1",IF(S26&gt;=55,"Tier 2",IF(S26&gt;=35,"Tier 3","Below Threshold"))))</f>
        <v>Need Hex Data</v>
      </c>
    </row>
    <row r="27" customFormat="false" ht="15" hidden="false" customHeight="false" outlineLevel="0" collapsed="false">
      <c r="A27" s="4" t="s">
        <v>244</v>
      </c>
      <c r="B27" s="4" t="s">
        <v>203</v>
      </c>
      <c r="C27" s="4" t="s">
        <v>43</v>
      </c>
      <c r="D27" s="4" t="n">
        <v>35</v>
      </c>
      <c r="E27" s="4" t="n">
        <v>38</v>
      </c>
      <c r="F27" s="5" t="n">
        <f aca="false">IF(D27&gt;0,E27/D27,0)</f>
        <v>1.08571428571429</v>
      </c>
      <c r="G27" s="4" t="n">
        <v>33</v>
      </c>
      <c r="H27" s="6" t="n">
        <v>7539</v>
      </c>
      <c r="I27" s="4" t="s">
        <v>245</v>
      </c>
      <c r="J27" s="4" t="n">
        <v>244</v>
      </c>
      <c r="K27" s="4" t="str">
        <f aca="false">IF(J27&lt;=30,"🔴 NOW",IF(J27&lt;=60,"🟠 Soon",IF(J27&lt;=90,"🟡 Q1",IF(J27&lt;=180,"🟢 Q2","⚪ Later"))))</f>
        <v>⚪ Later</v>
      </c>
      <c r="L27" s="7" t="n">
        <v>0</v>
      </c>
      <c r="M27" s="8" t="n">
        <f aca="false">IF(B27="Defined Group",5,4)</f>
        <v>5</v>
      </c>
      <c r="N27" s="8" t="n">
        <f aca="false">IF(C27="Extra Green",25,IF(C27="Green",20,IF(C27="Yellow",8,IF(C27="Red",3,0))))</f>
        <v>8</v>
      </c>
      <c r="O27" s="8" t="n">
        <f aca="false">IF(F27&gt;=1,18,IF(F27&gt;=0.95,16,IF(F27&gt;=0.9,14,IF(F27&gt;=0.8,10,IF(F27&gt;=0.7,6,2)))))</f>
        <v>18</v>
      </c>
      <c r="P27" s="8" t="n">
        <f aca="false">IF(L27=0,0,IF(L27&gt;=50,25,IF(L27&gt;=30,22,IF(L27&gt;=20,18,IF(L27&gt;=10,14,IF(L27&gt;=5,10,5))))))</f>
        <v>0</v>
      </c>
      <c r="Q27" s="8" t="n">
        <f aca="false">IF(H27&gt;=25000,10,IF(H27&gt;=15000,8,IF(H27&gt;=10000,6,IF(H27&gt;=5000,4,2))))</f>
        <v>4</v>
      </c>
      <c r="R27" s="8" t="n">
        <f aca="false">IF(J27&lt;=30,20,IF(J27&lt;=60,17,IF(J27&lt;=90,14,IF(J27&lt;=120,10,IF(J27&lt;=180,5,2)))))</f>
        <v>2</v>
      </c>
      <c r="S27" s="9" t="n">
        <f aca="false">IF(L27=0,0,M27+N27+O27+P27+Q27+R27)</f>
        <v>0</v>
      </c>
      <c r="T27" s="8" t="str">
        <f aca="false">IF(L27=0,"Need Hex Data",IF(S27&gt;=75,"Tier 1",IF(S27&gt;=55,"Tier 2",IF(S27&gt;=35,"Tier 3","Below Threshold"))))</f>
        <v>Need Hex Data</v>
      </c>
    </row>
    <row r="28" customFormat="false" ht="15" hidden="false" customHeight="false" outlineLevel="0" collapsed="false">
      <c r="A28" s="4" t="s">
        <v>246</v>
      </c>
      <c r="B28" s="4" t="s">
        <v>203</v>
      </c>
      <c r="C28" s="4" t="s">
        <v>23</v>
      </c>
      <c r="D28" s="4" t="n">
        <v>80</v>
      </c>
      <c r="E28" s="4" t="n">
        <v>16</v>
      </c>
      <c r="F28" s="5" t="n">
        <f aca="false">IF(D28&gt;0,E28/D28,0)</f>
        <v>0.2</v>
      </c>
      <c r="G28" s="4" t="n">
        <v>14</v>
      </c>
      <c r="H28" s="6" t="n">
        <v>17232</v>
      </c>
      <c r="I28" s="4" t="s">
        <v>247</v>
      </c>
      <c r="J28" s="4" t="n">
        <v>259</v>
      </c>
      <c r="K28" s="4" t="str">
        <f aca="false">IF(J28&lt;=30,"🔴 NOW",IF(J28&lt;=60,"🟠 Soon",IF(J28&lt;=90,"🟡 Q1",IF(J28&lt;=180,"🟢 Q2","⚪ Later"))))</f>
        <v>⚪ Later</v>
      </c>
      <c r="L28" s="7" t="n">
        <v>0</v>
      </c>
      <c r="M28" s="8" t="n">
        <f aca="false">IF(B28="Defined Group",5,4)</f>
        <v>5</v>
      </c>
      <c r="N28" s="8" t="n">
        <f aca="false">IF(C28="Extra Green",25,IF(C28="Green",20,IF(C28="Yellow",8,IF(C28="Red",3,0))))</f>
        <v>3</v>
      </c>
      <c r="O28" s="8" t="n">
        <f aca="false">IF(F28&gt;=1,18,IF(F28&gt;=0.95,16,IF(F28&gt;=0.9,14,IF(F28&gt;=0.8,10,IF(F28&gt;=0.7,6,2)))))</f>
        <v>2</v>
      </c>
      <c r="P28" s="8" t="n">
        <f aca="false">IF(L28=0,0,IF(L28&gt;=50,25,IF(L28&gt;=30,22,IF(L28&gt;=20,18,IF(L28&gt;=10,14,IF(L28&gt;=5,10,5))))))</f>
        <v>0</v>
      </c>
      <c r="Q28" s="8" t="n">
        <f aca="false">IF(H28&gt;=25000,10,IF(H28&gt;=15000,8,IF(H28&gt;=10000,6,IF(H28&gt;=5000,4,2))))</f>
        <v>8</v>
      </c>
      <c r="R28" s="8" t="n">
        <f aca="false">IF(J28&lt;=30,20,IF(J28&lt;=60,17,IF(J28&lt;=90,14,IF(J28&lt;=120,10,IF(J28&lt;=180,5,2)))))</f>
        <v>2</v>
      </c>
      <c r="S28" s="9" t="n">
        <f aca="false">IF(L28=0,0,M28+N28+O28+P28+Q28+R28)</f>
        <v>0</v>
      </c>
      <c r="T28" s="8" t="str">
        <f aca="false">IF(L28=0,"Need Hex Data",IF(S28&gt;=75,"Tier 1",IF(S28&gt;=55,"Tier 2",IF(S28&gt;=35,"Tier 3","Below Threshold"))))</f>
        <v>Need Hex Data</v>
      </c>
    </row>
    <row r="29" customFormat="false" ht="15" hidden="false" customHeight="false" outlineLevel="0" collapsed="false">
      <c r="A29" s="4" t="s">
        <v>248</v>
      </c>
      <c r="B29" s="4" t="s">
        <v>203</v>
      </c>
      <c r="C29" s="4" t="s">
        <v>23</v>
      </c>
      <c r="D29" s="4" t="n">
        <v>25</v>
      </c>
      <c r="E29" s="4" t="n">
        <v>20</v>
      </c>
      <c r="F29" s="5" t="n">
        <f aca="false">IF(D29&gt;0,E29/D29,0)</f>
        <v>0.8</v>
      </c>
      <c r="G29" s="4" t="n">
        <v>11</v>
      </c>
      <c r="H29" s="6" t="n">
        <v>5385</v>
      </c>
      <c r="I29" s="4" t="s">
        <v>249</v>
      </c>
      <c r="J29" s="4" t="n">
        <v>274</v>
      </c>
      <c r="K29" s="4" t="str">
        <f aca="false">IF(J29&lt;=30,"🔴 NOW",IF(J29&lt;=60,"🟠 Soon",IF(J29&lt;=90,"🟡 Q1",IF(J29&lt;=180,"🟢 Q2","⚪ Later"))))</f>
        <v>⚪ Later</v>
      </c>
      <c r="L29" s="7" t="n">
        <v>0</v>
      </c>
      <c r="M29" s="8" t="n">
        <f aca="false">IF(B29="Defined Group",5,4)</f>
        <v>5</v>
      </c>
      <c r="N29" s="8" t="n">
        <f aca="false">IF(C29="Extra Green",25,IF(C29="Green",20,IF(C29="Yellow",8,IF(C29="Red",3,0))))</f>
        <v>3</v>
      </c>
      <c r="O29" s="8" t="n">
        <f aca="false">IF(F29&gt;=1,18,IF(F29&gt;=0.95,16,IF(F29&gt;=0.9,14,IF(F29&gt;=0.8,10,IF(F29&gt;=0.7,6,2)))))</f>
        <v>10</v>
      </c>
      <c r="P29" s="8" t="n">
        <f aca="false">IF(L29=0,0,IF(L29&gt;=50,25,IF(L29&gt;=30,22,IF(L29&gt;=20,18,IF(L29&gt;=10,14,IF(L29&gt;=5,10,5))))))</f>
        <v>0</v>
      </c>
      <c r="Q29" s="8" t="n">
        <f aca="false">IF(H29&gt;=25000,10,IF(H29&gt;=15000,8,IF(H29&gt;=10000,6,IF(H29&gt;=5000,4,2))))</f>
        <v>4</v>
      </c>
      <c r="R29" s="8" t="n">
        <f aca="false">IF(J29&lt;=30,20,IF(J29&lt;=60,17,IF(J29&lt;=90,14,IF(J29&lt;=120,10,IF(J29&lt;=180,5,2)))))</f>
        <v>2</v>
      </c>
      <c r="S29" s="9" t="n">
        <f aca="false">IF(L29=0,0,M29+N29+O29+P29+Q29+R29)</f>
        <v>0</v>
      </c>
      <c r="T29" s="8" t="str">
        <f aca="false">IF(L29=0,"Need Hex Data",IF(S29&gt;=75,"Tier 1",IF(S29&gt;=55,"Tier 2",IF(S29&gt;=35,"Tier 3","Below Threshold"))))</f>
        <v>Need Hex Data</v>
      </c>
    </row>
    <row r="30" customFormat="false" ht="15" hidden="false" customHeight="false" outlineLevel="0" collapsed="false">
      <c r="A30" s="4" t="s">
        <v>250</v>
      </c>
      <c r="B30" s="4" t="s">
        <v>203</v>
      </c>
      <c r="C30" s="4" t="s">
        <v>43</v>
      </c>
      <c r="D30" s="4" t="n">
        <v>30</v>
      </c>
      <c r="E30" s="4" t="n">
        <v>35</v>
      </c>
      <c r="F30" s="5" t="n">
        <f aca="false">IF(D30&gt;0,E30/D30,0)</f>
        <v>1.16666666666667</v>
      </c>
      <c r="G30" s="4" t="n">
        <v>24</v>
      </c>
      <c r="H30" s="6" t="n">
        <v>6462</v>
      </c>
      <c r="I30" s="4" t="s">
        <v>140</v>
      </c>
      <c r="J30" s="4" t="n">
        <v>277</v>
      </c>
      <c r="K30" s="4" t="str">
        <f aca="false">IF(J30&lt;=30,"🔴 NOW",IF(J30&lt;=60,"🟠 Soon",IF(J30&lt;=90,"🟡 Q1",IF(J30&lt;=180,"🟢 Q2","⚪ Later"))))</f>
        <v>⚪ Later</v>
      </c>
      <c r="L30" s="7" t="n">
        <v>0</v>
      </c>
      <c r="M30" s="8" t="n">
        <f aca="false">IF(B30="Defined Group",5,4)</f>
        <v>5</v>
      </c>
      <c r="N30" s="8" t="n">
        <f aca="false">IF(C30="Extra Green",25,IF(C30="Green",20,IF(C30="Yellow",8,IF(C30="Red",3,0))))</f>
        <v>8</v>
      </c>
      <c r="O30" s="8" t="n">
        <f aca="false">IF(F30&gt;=1,18,IF(F30&gt;=0.95,16,IF(F30&gt;=0.9,14,IF(F30&gt;=0.8,10,IF(F30&gt;=0.7,6,2)))))</f>
        <v>18</v>
      </c>
      <c r="P30" s="8" t="n">
        <f aca="false">IF(L30=0,0,IF(L30&gt;=50,25,IF(L30&gt;=30,22,IF(L30&gt;=20,18,IF(L30&gt;=10,14,IF(L30&gt;=5,10,5))))))</f>
        <v>0</v>
      </c>
      <c r="Q30" s="8" t="n">
        <f aca="false">IF(H30&gt;=25000,10,IF(H30&gt;=15000,8,IF(H30&gt;=10000,6,IF(H30&gt;=5000,4,2))))</f>
        <v>4</v>
      </c>
      <c r="R30" s="8" t="n">
        <f aca="false">IF(J30&lt;=30,20,IF(J30&lt;=60,17,IF(J30&lt;=90,14,IF(J30&lt;=120,10,IF(J30&lt;=180,5,2)))))</f>
        <v>2</v>
      </c>
      <c r="S30" s="9" t="n">
        <f aca="false">IF(L30=0,0,M30+N30+O30+P30+Q30+R30)</f>
        <v>0</v>
      </c>
      <c r="T30" s="8" t="str">
        <f aca="false">IF(L30=0,"Need Hex Data",IF(S30&gt;=75,"Tier 1",IF(S30&gt;=55,"Tier 2",IF(S30&gt;=35,"Tier 3","Below Threshold"))))</f>
        <v>Need Hex Data</v>
      </c>
    </row>
    <row r="31" customFormat="false" ht="15" hidden="false" customHeight="false" outlineLevel="0" collapsed="false">
      <c r="A31" s="4" t="s">
        <v>251</v>
      </c>
      <c r="B31" s="4" t="s">
        <v>203</v>
      </c>
      <c r="C31" s="4" t="s">
        <v>23</v>
      </c>
      <c r="D31" s="4" t="n">
        <v>35</v>
      </c>
      <c r="E31" s="4" t="n">
        <v>23</v>
      </c>
      <c r="F31" s="5" t="n">
        <f aca="false">IF(D31&gt;0,E31/D31,0)</f>
        <v>0.657142857142857</v>
      </c>
      <c r="G31" s="4" t="n">
        <v>14</v>
      </c>
      <c r="H31" s="6" t="n">
        <v>7539</v>
      </c>
      <c r="I31" s="4" t="s">
        <v>140</v>
      </c>
      <c r="J31" s="4" t="n">
        <v>277</v>
      </c>
      <c r="K31" s="4" t="str">
        <f aca="false">IF(J31&lt;=30,"🔴 NOW",IF(J31&lt;=60,"🟠 Soon",IF(J31&lt;=90,"🟡 Q1",IF(J31&lt;=180,"🟢 Q2","⚪ Later"))))</f>
        <v>⚪ Later</v>
      </c>
      <c r="L31" s="7" t="n">
        <v>0</v>
      </c>
      <c r="M31" s="8" t="n">
        <f aca="false">IF(B31="Defined Group",5,4)</f>
        <v>5</v>
      </c>
      <c r="N31" s="8" t="n">
        <f aca="false">IF(C31="Extra Green",25,IF(C31="Green",20,IF(C31="Yellow",8,IF(C31="Red",3,0))))</f>
        <v>3</v>
      </c>
      <c r="O31" s="8" t="n">
        <f aca="false">IF(F31&gt;=1,18,IF(F31&gt;=0.95,16,IF(F31&gt;=0.9,14,IF(F31&gt;=0.8,10,IF(F31&gt;=0.7,6,2)))))</f>
        <v>2</v>
      </c>
      <c r="P31" s="8" t="n">
        <f aca="false">IF(L31=0,0,IF(L31&gt;=50,25,IF(L31&gt;=30,22,IF(L31&gt;=20,18,IF(L31&gt;=10,14,IF(L31&gt;=5,10,5))))))</f>
        <v>0</v>
      </c>
      <c r="Q31" s="8" t="n">
        <f aca="false">IF(H31&gt;=25000,10,IF(H31&gt;=15000,8,IF(H31&gt;=10000,6,IF(H31&gt;=5000,4,2))))</f>
        <v>4</v>
      </c>
      <c r="R31" s="8" t="n">
        <f aca="false">IF(J31&lt;=30,20,IF(J31&lt;=60,17,IF(J31&lt;=90,14,IF(J31&lt;=120,10,IF(J31&lt;=180,5,2)))))</f>
        <v>2</v>
      </c>
      <c r="S31" s="9" t="n">
        <f aca="false">IF(L31=0,0,M31+N31+O31+P31+Q31+R31)</f>
        <v>0</v>
      </c>
      <c r="T31" s="8" t="str">
        <f aca="false">IF(L31=0,"Need Hex Data",IF(S31&gt;=75,"Tier 1",IF(S31&gt;=55,"Tier 2",IF(S31&gt;=35,"Tier 3","Below Threshold"))))</f>
        <v>Need Hex Data</v>
      </c>
    </row>
    <row r="32" customFormat="false" ht="15" hidden="false" customHeight="false" outlineLevel="0" collapsed="false">
      <c r="A32" s="4" t="s">
        <v>252</v>
      </c>
      <c r="B32" s="4" t="s">
        <v>203</v>
      </c>
      <c r="C32" s="4" t="s">
        <v>23</v>
      </c>
      <c r="D32" s="4" t="n">
        <v>39</v>
      </c>
      <c r="E32" s="4" t="n">
        <v>47</v>
      </c>
      <c r="F32" s="5" t="n">
        <f aca="false">IF(D32&gt;0,E32/D32,0)</f>
        <v>1.20512820512821</v>
      </c>
      <c r="G32" s="4" t="n">
        <v>28</v>
      </c>
      <c r="H32" s="6" t="n">
        <v>8400.6</v>
      </c>
      <c r="I32" s="4" t="s">
        <v>253</v>
      </c>
      <c r="J32" s="4" t="n">
        <v>283</v>
      </c>
      <c r="K32" s="4" t="str">
        <f aca="false">IF(J32&lt;=30,"🔴 NOW",IF(J32&lt;=60,"🟠 Soon",IF(J32&lt;=90,"🟡 Q1",IF(J32&lt;=180,"🟢 Q2","⚪ Later"))))</f>
        <v>⚪ Later</v>
      </c>
      <c r="L32" s="7" t="n">
        <v>0</v>
      </c>
      <c r="M32" s="8" t="n">
        <f aca="false">IF(B32="Defined Group",5,4)</f>
        <v>5</v>
      </c>
      <c r="N32" s="8" t="n">
        <f aca="false">IF(C32="Extra Green",25,IF(C32="Green",20,IF(C32="Yellow",8,IF(C32="Red",3,0))))</f>
        <v>3</v>
      </c>
      <c r="O32" s="8" t="n">
        <f aca="false">IF(F32&gt;=1,18,IF(F32&gt;=0.95,16,IF(F32&gt;=0.9,14,IF(F32&gt;=0.8,10,IF(F32&gt;=0.7,6,2)))))</f>
        <v>18</v>
      </c>
      <c r="P32" s="8" t="n">
        <f aca="false">IF(L32=0,0,IF(L32&gt;=50,25,IF(L32&gt;=30,22,IF(L32&gt;=20,18,IF(L32&gt;=10,14,IF(L32&gt;=5,10,5))))))</f>
        <v>0</v>
      </c>
      <c r="Q32" s="8" t="n">
        <f aca="false">IF(H32&gt;=25000,10,IF(H32&gt;=15000,8,IF(H32&gt;=10000,6,IF(H32&gt;=5000,4,2))))</f>
        <v>4</v>
      </c>
      <c r="R32" s="8" t="n">
        <f aca="false">IF(J32&lt;=30,20,IF(J32&lt;=60,17,IF(J32&lt;=90,14,IF(J32&lt;=120,10,IF(J32&lt;=180,5,2)))))</f>
        <v>2</v>
      </c>
      <c r="S32" s="9" t="n">
        <f aca="false">IF(L32=0,0,M32+N32+O32+P32+Q32+R32)</f>
        <v>0</v>
      </c>
      <c r="T32" s="8" t="str">
        <f aca="false">IF(L32=0,"Need Hex Data",IF(S32&gt;=75,"Tier 1",IF(S32&gt;=55,"Tier 2",IF(S32&gt;=35,"Tier 3","Below Threshold"))))</f>
        <v>Need Hex Data</v>
      </c>
    </row>
    <row r="33" customFormat="false" ht="15" hidden="false" customHeight="false" outlineLevel="0" collapsed="false">
      <c r="A33" s="4" t="s">
        <v>254</v>
      </c>
      <c r="B33" s="4" t="s">
        <v>203</v>
      </c>
      <c r="C33" s="4" t="s">
        <v>222</v>
      </c>
      <c r="D33" s="4" t="n">
        <v>20</v>
      </c>
      <c r="E33" s="4" t="n">
        <v>40</v>
      </c>
      <c r="F33" s="5" t="n">
        <f aca="false">IF(D33&gt;0,E33/D33,0)</f>
        <v>2</v>
      </c>
      <c r="G33" s="4" t="n">
        <v>35</v>
      </c>
      <c r="H33" s="6" t="n">
        <v>4308</v>
      </c>
      <c r="I33" s="4" t="s">
        <v>255</v>
      </c>
      <c r="J33" s="4" t="n">
        <v>286</v>
      </c>
      <c r="K33" s="4" t="str">
        <f aca="false">IF(J33&lt;=30,"🔴 NOW",IF(J33&lt;=60,"🟠 Soon",IF(J33&lt;=90,"🟡 Q1",IF(J33&lt;=180,"🟢 Q2","⚪ Later"))))</f>
        <v>⚪ Later</v>
      </c>
      <c r="L33" s="7" t="n">
        <v>0</v>
      </c>
      <c r="M33" s="8" t="n">
        <f aca="false">IF(B33="Defined Group",5,4)</f>
        <v>5</v>
      </c>
      <c r="N33" s="8" t="n">
        <f aca="false">IF(C33="Extra Green",25,IF(C33="Green",20,IF(C33="Yellow",8,IF(C33="Red",3,0))))</f>
        <v>25</v>
      </c>
      <c r="O33" s="8" t="n">
        <f aca="false">IF(F33&gt;=1,18,IF(F33&gt;=0.95,16,IF(F33&gt;=0.9,14,IF(F33&gt;=0.8,10,IF(F33&gt;=0.7,6,2)))))</f>
        <v>18</v>
      </c>
      <c r="P33" s="8" t="n">
        <f aca="false">IF(L33=0,0,IF(L33&gt;=50,25,IF(L33&gt;=30,22,IF(L33&gt;=20,18,IF(L33&gt;=10,14,IF(L33&gt;=5,10,5))))))</f>
        <v>0</v>
      </c>
      <c r="Q33" s="8" t="n">
        <f aca="false">IF(H33&gt;=25000,10,IF(H33&gt;=15000,8,IF(H33&gt;=10000,6,IF(H33&gt;=5000,4,2))))</f>
        <v>2</v>
      </c>
      <c r="R33" s="8" t="n">
        <f aca="false">IF(J33&lt;=30,20,IF(J33&lt;=60,17,IF(J33&lt;=90,14,IF(J33&lt;=120,10,IF(J33&lt;=180,5,2)))))</f>
        <v>2</v>
      </c>
      <c r="S33" s="9" t="n">
        <f aca="false">IF(L33=0,0,M33+N33+O33+P33+Q33+R33)</f>
        <v>0</v>
      </c>
      <c r="T33" s="8" t="str">
        <f aca="false">IF(L33=0,"Need Hex Data",IF(S33&gt;=75,"Tier 1",IF(S33&gt;=55,"Tier 2",IF(S33&gt;=35,"Tier 3","Below Threshold"))))</f>
        <v>Need Hex Data</v>
      </c>
    </row>
    <row r="34" customFormat="false" ht="15" hidden="false" customHeight="false" outlineLevel="0" collapsed="false">
      <c r="A34" s="4" t="s">
        <v>256</v>
      </c>
      <c r="B34" s="4" t="s">
        <v>203</v>
      </c>
      <c r="C34" s="4" t="s">
        <v>23</v>
      </c>
      <c r="D34" s="4" t="n">
        <v>25</v>
      </c>
      <c r="E34" s="4" t="n">
        <v>25</v>
      </c>
      <c r="F34" s="5" t="n">
        <f aca="false">IF(D34&gt;0,E34/D34,0)</f>
        <v>1</v>
      </c>
      <c r="G34" s="4" t="n">
        <v>18</v>
      </c>
      <c r="H34" s="6" t="n">
        <v>5385</v>
      </c>
      <c r="I34" s="4" t="s">
        <v>257</v>
      </c>
      <c r="J34" s="4" t="n">
        <v>309</v>
      </c>
      <c r="K34" s="4" t="str">
        <f aca="false">IF(J34&lt;=30,"🔴 NOW",IF(J34&lt;=60,"🟠 Soon",IF(J34&lt;=90,"🟡 Q1",IF(J34&lt;=180,"🟢 Q2","⚪ Later"))))</f>
        <v>⚪ Later</v>
      </c>
      <c r="L34" s="7" t="n">
        <v>0</v>
      </c>
      <c r="M34" s="8" t="n">
        <f aca="false">IF(B34="Defined Group",5,4)</f>
        <v>5</v>
      </c>
      <c r="N34" s="8" t="n">
        <f aca="false">IF(C34="Extra Green",25,IF(C34="Green",20,IF(C34="Yellow",8,IF(C34="Red",3,0))))</f>
        <v>3</v>
      </c>
      <c r="O34" s="8" t="n">
        <f aca="false">IF(F34&gt;=1,18,IF(F34&gt;=0.95,16,IF(F34&gt;=0.9,14,IF(F34&gt;=0.8,10,IF(F34&gt;=0.7,6,2)))))</f>
        <v>18</v>
      </c>
      <c r="P34" s="8" t="n">
        <f aca="false">IF(L34=0,0,IF(L34&gt;=50,25,IF(L34&gt;=30,22,IF(L34&gt;=20,18,IF(L34&gt;=10,14,IF(L34&gt;=5,10,5))))))</f>
        <v>0</v>
      </c>
      <c r="Q34" s="8" t="n">
        <f aca="false">IF(H34&gt;=25000,10,IF(H34&gt;=15000,8,IF(H34&gt;=10000,6,IF(H34&gt;=5000,4,2))))</f>
        <v>4</v>
      </c>
      <c r="R34" s="8" t="n">
        <f aca="false">IF(J34&lt;=30,20,IF(J34&lt;=60,17,IF(J34&lt;=90,14,IF(J34&lt;=120,10,IF(J34&lt;=180,5,2)))))</f>
        <v>2</v>
      </c>
      <c r="S34" s="9" t="n">
        <f aca="false">IF(L34=0,0,M34+N34+O34+P34+Q34+R34)</f>
        <v>0</v>
      </c>
      <c r="T34" s="8" t="str">
        <f aca="false">IF(L34=0,"Need Hex Data",IF(S34&gt;=75,"Tier 1",IF(S34&gt;=55,"Tier 2",IF(S34&gt;=35,"Tier 3","Below Threshold"))))</f>
        <v>Need Hex Data</v>
      </c>
    </row>
    <row r="35" customFormat="false" ht="15" hidden="false" customHeight="false" outlineLevel="0" collapsed="false">
      <c r="A35" s="4" t="s">
        <v>258</v>
      </c>
      <c r="B35" s="4" t="s">
        <v>203</v>
      </c>
      <c r="C35" s="4" t="s">
        <v>43</v>
      </c>
      <c r="D35" s="4" t="n">
        <v>35</v>
      </c>
      <c r="E35" s="4" t="n">
        <v>51</v>
      </c>
      <c r="F35" s="5" t="n">
        <f aca="false">IF(D35&gt;0,E35/D35,0)</f>
        <v>1.45714285714286</v>
      </c>
      <c r="G35" s="4" t="n">
        <v>33</v>
      </c>
      <c r="H35" s="6" t="n">
        <v>7539</v>
      </c>
      <c r="I35" s="4" t="s">
        <v>159</v>
      </c>
      <c r="J35" s="4" t="n">
        <v>324</v>
      </c>
      <c r="K35" s="4" t="str">
        <f aca="false">IF(J35&lt;=30,"🔴 NOW",IF(J35&lt;=60,"🟠 Soon",IF(J35&lt;=90,"🟡 Q1",IF(J35&lt;=180,"🟢 Q2","⚪ Later"))))</f>
        <v>⚪ Later</v>
      </c>
      <c r="L35" s="7" t="n">
        <v>0</v>
      </c>
      <c r="M35" s="8" t="n">
        <f aca="false">IF(B35="Defined Group",5,4)</f>
        <v>5</v>
      </c>
      <c r="N35" s="8" t="n">
        <f aca="false">IF(C35="Extra Green",25,IF(C35="Green",20,IF(C35="Yellow",8,IF(C35="Red",3,0))))</f>
        <v>8</v>
      </c>
      <c r="O35" s="8" t="n">
        <f aca="false">IF(F35&gt;=1,18,IF(F35&gt;=0.95,16,IF(F35&gt;=0.9,14,IF(F35&gt;=0.8,10,IF(F35&gt;=0.7,6,2)))))</f>
        <v>18</v>
      </c>
      <c r="P35" s="8" t="n">
        <f aca="false">IF(L35=0,0,IF(L35&gt;=50,25,IF(L35&gt;=30,22,IF(L35&gt;=20,18,IF(L35&gt;=10,14,IF(L35&gt;=5,10,5))))))</f>
        <v>0</v>
      </c>
      <c r="Q35" s="8" t="n">
        <f aca="false">IF(H35&gt;=25000,10,IF(H35&gt;=15000,8,IF(H35&gt;=10000,6,IF(H35&gt;=5000,4,2))))</f>
        <v>4</v>
      </c>
      <c r="R35" s="8" t="n">
        <f aca="false">IF(J35&lt;=30,20,IF(J35&lt;=60,17,IF(J35&lt;=90,14,IF(J35&lt;=120,10,IF(J35&lt;=180,5,2)))))</f>
        <v>2</v>
      </c>
      <c r="S35" s="9" t="n">
        <f aca="false">IF(L35=0,0,M35+N35+O35+P35+Q35+R35)</f>
        <v>0</v>
      </c>
      <c r="T35" s="8" t="str">
        <f aca="false">IF(L35=0,"Need Hex Data",IF(S35&gt;=75,"Tier 1",IF(S35&gt;=55,"Tier 2",IF(S35&gt;=35,"Tier 3","Below Threshold"))))</f>
        <v>Need Hex Data</v>
      </c>
    </row>
    <row r="36" customFormat="false" ht="15" hidden="false" customHeight="false" outlineLevel="0" collapsed="false">
      <c r="A36" s="4" t="s">
        <v>259</v>
      </c>
      <c r="B36" s="4" t="s">
        <v>203</v>
      </c>
      <c r="C36" s="4" t="s">
        <v>43</v>
      </c>
      <c r="D36" s="4" t="n">
        <v>140</v>
      </c>
      <c r="E36" s="4" t="n">
        <v>181</v>
      </c>
      <c r="F36" s="5" t="n">
        <f aca="false">IF(D36&gt;0,E36/D36,0)</f>
        <v>1.29285714285714</v>
      </c>
      <c r="G36" s="4" t="n">
        <v>115</v>
      </c>
      <c r="H36" s="6" t="n">
        <v>28756</v>
      </c>
      <c r="I36" s="4" t="s">
        <v>161</v>
      </c>
      <c r="J36" s="4" t="n">
        <v>327</v>
      </c>
      <c r="K36" s="4" t="str">
        <f aca="false">IF(J36&lt;=30,"🔴 NOW",IF(J36&lt;=60,"🟠 Soon",IF(J36&lt;=90,"🟡 Q1",IF(J36&lt;=180,"🟢 Q2","⚪ Later"))))</f>
        <v>⚪ Later</v>
      </c>
      <c r="L36" s="7" t="n">
        <v>0</v>
      </c>
      <c r="M36" s="8" t="n">
        <f aca="false">IF(B36="Defined Group",5,4)</f>
        <v>5</v>
      </c>
      <c r="N36" s="8" t="n">
        <f aca="false">IF(C36="Extra Green",25,IF(C36="Green",20,IF(C36="Yellow",8,IF(C36="Red",3,0))))</f>
        <v>8</v>
      </c>
      <c r="O36" s="8" t="n">
        <f aca="false">IF(F36&gt;=1,18,IF(F36&gt;=0.95,16,IF(F36&gt;=0.9,14,IF(F36&gt;=0.8,10,IF(F36&gt;=0.7,6,2)))))</f>
        <v>18</v>
      </c>
      <c r="P36" s="8" t="n">
        <f aca="false">IF(L36=0,0,IF(L36&gt;=50,25,IF(L36&gt;=30,22,IF(L36&gt;=20,18,IF(L36&gt;=10,14,IF(L36&gt;=5,10,5))))))</f>
        <v>0</v>
      </c>
      <c r="Q36" s="8" t="n">
        <f aca="false">IF(H36&gt;=25000,10,IF(H36&gt;=15000,8,IF(H36&gt;=10000,6,IF(H36&gt;=5000,4,2))))</f>
        <v>10</v>
      </c>
      <c r="R36" s="8" t="n">
        <f aca="false">IF(J36&lt;=30,20,IF(J36&lt;=60,17,IF(J36&lt;=90,14,IF(J36&lt;=120,10,IF(J36&lt;=180,5,2)))))</f>
        <v>2</v>
      </c>
      <c r="S36" s="9" t="n">
        <f aca="false">IF(L36=0,0,M36+N36+O36+P36+Q36+R36)</f>
        <v>0</v>
      </c>
      <c r="T36" s="8" t="str">
        <f aca="false">IF(L36=0,"Need Hex Data",IF(S36&gt;=75,"Tier 1",IF(S36&gt;=55,"Tier 2",IF(S36&gt;=35,"Tier 3","Below Threshold"))))</f>
        <v>Need Hex Data</v>
      </c>
    </row>
    <row r="37" customFormat="false" ht="15" hidden="false" customHeight="false" outlineLevel="0" collapsed="false">
      <c r="A37" s="4" t="s">
        <v>260</v>
      </c>
      <c r="B37" s="4" t="s">
        <v>203</v>
      </c>
      <c r="C37" s="4" t="s">
        <v>23</v>
      </c>
      <c r="D37" s="4" t="n">
        <v>59</v>
      </c>
      <c r="E37" s="4" t="n">
        <v>82</v>
      </c>
      <c r="F37" s="5" t="n">
        <f aca="false">IF(D37&gt;0,E37/D37,0)</f>
        <v>1.38983050847458</v>
      </c>
      <c r="G37" s="4" t="n">
        <v>40</v>
      </c>
      <c r="H37" s="6" t="n">
        <v>12708.6</v>
      </c>
      <c r="I37" s="4" t="s">
        <v>163</v>
      </c>
      <c r="J37" s="4" t="n">
        <v>338</v>
      </c>
      <c r="K37" s="4" t="str">
        <f aca="false">IF(J37&lt;=30,"🔴 NOW",IF(J37&lt;=60,"🟠 Soon",IF(J37&lt;=90,"🟡 Q1",IF(J37&lt;=180,"🟢 Q2","⚪ Later"))))</f>
        <v>⚪ Later</v>
      </c>
      <c r="L37" s="7" t="n">
        <v>0</v>
      </c>
      <c r="M37" s="8" t="n">
        <f aca="false">IF(B37="Defined Group",5,4)</f>
        <v>5</v>
      </c>
      <c r="N37" s="8" t="n">
        <f aca="false">IF(C37="Extra Green",25,IF(C37="Green",20,IF(C37="Yellow",8,IF(C37="Red",3,0))))</f>
        <v>3</v>
      </c>
      <c r="O37" s="8" t="n">
        <f aca="false">IF(F37&gt;=1,18,IF(F37&gt;=0.95,16,IF(F37&gt;=0.9,14,IF(F37&gt;=0.8,10,IF(F37&gt;=0.7,6,2)))))</f>
        <v>18</v>
      </c>
      <c r="P37" s="8" t="n">
        <f aca="false">IF(L37=0,0,IF(L37&gt;=50,25,IF(L37&gt;=30,22,IF(L37&gt;=20,18,IF(L37&gt;=10,14,IF(L37&gt;=5,10,5))))))</f>
        <v>0</v>
      </c>
      <c r="Q37" s="8" t="n">
        <f aca="false">IF(H37&gt;=25000,10,IF(H37&gt;=15000,8,IF(H37&gt;=10000,6,IF(H37&gt;=5000,4,2))))</f>
        <v>6</v>
      </c>
      <c r="R37" s="8" t="n">
        <f aca="false">IF(J37&lt;=30,20,IF(J37&lt;=60,17,IF(J37&lt;=90,14,IF(J37&lt;=120,10,IF(J37&lt;=180,5,2)))))</f>
        <v>2</v>
      </c>
      <c r="S37" s="9" t="n">
        <f aca="false">IF(L37=0,0,M37+N37+O37+P37+Q37+R37)</f>
        <v>0</v>
      </c>
      <c r="T37" s="8" t="str">
        <f aca="false">IF(L37=0,"Need Hex Data",IF(S37&gt;=75,"Tier 1",IF(S37&gt;=55,"Tier 2",IF(S37&gt;=35,"Tier 3","Below Threshold"))))</f>
        <v>Need Hex Data</v>
      </c>
    </row>
    <row r="38" customFormat="false" ht="15" hidden="false" customHeight="false" outlineLevel="0" collapsed="false">
      <c r="A38" s="4" t="s">
        <v>261</v>
      </c>
      <c r="B38" s="4" t="s">
        <v>203</v>
      </c>
      <c r="C38" s="4" t="s">
        <v>23</v>
      </c>
      <c r="D38" s="4" t="n">
        <v>24</v>
      </c>
      <c r="E38" s="4" t="n">
        <v>9</v>
      </c>
      <c r="F38" s="5" t="n">
        <f aca="false">IF(D38&gt;0,E38/D38,0)</f>
        <v>0.375</v>
      </c>
      <c r="G38" s="4" t="n">
        <v>9</v>
      </c>
      <c r="H38" s="6" t="n">
        <v>5169.6</v>
      </c>
      <c r="I38" s="4" t="s">
        <v>163</v>
      </c>
      <c r="J38" s="4" t="n">
        <v>338</v>
      </c>
      <c r="K38" s="4" t="str">
        <f aca="false">IF(J38&lt;=30,"🔴 NOW",IF(J38&lt;=60,"🟠 Soon",IF(J38&lt;=90,"🟡 Q1",IF(J38&lt;=180,"🟢 Q2","⚪ Later"))))</f>
        <v>⚪ Later</v>
      </c>
      <c r="L38" s="7" t="n">
        <v>0</v>
      </c>
      <c r="M38" s="8" t="n">
        <f aca="false">IF(B38="Defined Group",5,4)</f>
        <v>5</v>
      </c>
      <c r="N38" s="8" t="n">
        <f aca="false">IF(C38="Extra Green",25,IF(C38="Green",20,IF(C38="Yellow",8,IF(C38="Red",3,0))))</f>
        <v>3</v>
      </c>
      <c r="O38" s="8" t="n">
        <f aca="false">IF(F38&gt;=1,18,IF(F38&gt;=0.95,16,IF(F38&gt;=0.9,14,IF(F38&gt;=0.8,10,IF(F38&gt;=0.7,6,2)))))</f>
        <v>2</v>
      </c>
      <c r="P38" s="8" t="n">
        <f aca="false">IF(L38=0,0,IF(L38&gt;=50,25,IF(L38&gt;=30,22,IF(L38&gt;=20,18,IF(L38&gt;=10,14,IF(L38&gt;=5,10,5))))))</f>
        <v>0</v>
      </c>
      <c r="Q38" s="8" t="n">
        <f aca="false">IF(H38&gt;=25000,10,IF(H38&gt;=15000,8,IF(H38&gt;=10000,6,IF(H38&gt;=5000,4,2))))</f>
        <v>4</v>
      </c>
      <c r="R38" s="8" t="n">
        <f aca="false">IF(J38&lt;=30,20,IF(J38&lt;=60,17,IF(J38&lt;=90,14,IF(J38&lt;=120,10,IF(J38&lt;=180,5,2)))))</f>
        <v>2</v>
      </c>
      <c r="S38" s="9" t="n">
        <f aca="false">IF(L38=0,0,M38+N38+O38+P38+Q38+R38)</f>
        <v>0</v>
      </c>
      <c r="T38" s="8" t="str">
        <f aca="false">IF(L38=0,"Need Hex Data",IF(S38&gt;=75,"Tier 1",IF(S38&gt;=55,"Tier 2",IF(S38&gt;=35,"Tier 3","Below Threshold"))))</f>
        <v>Need Hex Data</v>
      </c>
    </row>
    <row r="39" customFormat="false" ht="15" hidden="false" customHeight="false" outlineLevel="0" collapsed="false">
      <c r="A39" s="4" t="s">
        <v>262</v>
      </c>
      <c r="B39" s="4" t="s">
        <v>203</v>
      </c>
      <c r="C39" s="4" t="s">
        <v>43</v>
      </c>
      <c r="D39" s="4" t="n">
        <v>130</v>
      </c>
      <c r="E39" s="4" t="n">
        <v>205</v>
      </c>
      <c r="F39" s="5" t="n">
        <f aca="false">IF(D39&gt;0,E39/D39,0)</f>
        <v>1.57692307692308</v>
      </c>
      <c r="G39" s="4" t="n">
        <v>113</v>
      </c>
      <c r="H39" s="6" t="n">
        <v>26702</v>
      </c>
      <c r="I39" s="4" t="s">
        <v>170</v>
      </c>
      <c r="J39" s="4" t="n">
        <v>349</v>
      </c>
      <c r="K39" s="4" t="str">
        <f aca="false">IF(J39&lt;=30,"🔴 NOW",IF(J39&lt;=60,"🟠 Soon",IF(J39&lt;=90,"🟡 Q1",IF(J39&lt;=180,"🟢 Q2","⚪ Later"))))</f>
        <v>⚪ Later</v>
      </c>
      <c r="L39" s="7" t="n">
        <v>0</v>
      </c>
      <c r="M39" s="8" t="n">
        <f aca="false">IF(B39="Defined Group",5,4)</f>
        <v>5</v>
      </c>
      <c r="N39" s="8" t="n">
        <f aca="false">IF(C39="Extra Green",25,IF(C39="Green",20,IF(C39="Yellow",8,IF(C39="Red",3,0))))</f>
        <v>8</v>
      </c>
      <c r="O39" s="8" t="n">
        <f aca="false">IF(F39&gt;=1,18,IF(F39&gt;=0.95,16,IF(F39&gt;=0.9,14,IF(F39&gt;=0.8,10,IF(F39&gt;=0.7,6,2)))))</f>
        <v>18</v>
      </c>
      <c r="P39" s="8" t="n">
        <f aca="false">IF(L39=0,0,IF(L39&gt;=50,25,IF(L39&gt;=30,22,IF(L39&gt;=20,18,IF(L39&gt;=10,14,IF(L39&gt;=5,10,5))))))</f>
        <v>0</v>
      </c>
      <c r="Q39" s="8" t="n">
        <f aca="false">IF(H39&gt;=25000,10,IF(H39&gt;=15000,8,IF(H39&gt;=10000,6,IF(H39&gt;=5000,4,2))))</f>
        <v>10</v>
      </c>
      <c r="R39" s="8" t="n">
        <f aca="false">IF(J39&lt;=30,20,IF(J39&lt;=60,17,IF(J39&lt;=90,14,IF(J39&lt;=120,10,IF(J39&lt;=180,5,2)))))</f>
        <v>2</v>
      </c>
      <c r="S39" s="9" t="n">
        <f aca="false">IF(L39=0,0,M39+N39+O39+P39+Q39+R39)</f>
        <v>0</v>
      </c>
      <c r="T39" s="8" t="str">
        <f aca="false">IF(L39=0,"Need Hex Data",IF(S39&gt;=75,"Tier 1",IF(S39&gt;=55,"Tier 2",IF(S39&gt;=35,"Tier 3","Below Threshold"))))</f>
        <v>Need Hex Data</v>
      </c>
    </row>
    <row r="40" customFormat="false" ht="15" hidden="false" customHeight="false" outlineLevel="0" collapsed="false">
      <c r="A40" s="4" t="s">
        <v>263</v>
      </c>
      <c r="B40" s="4" t="s">
        <v>203</v>
      </c>
      <c r="C40" s="4"/>
      <c r="D40" s="4" t="n">
        <v>25</v>
      </c>
      <c r="E40" s="4" t="n">
        <v>0</v>
      </c>
      <c r="F40" s="5" t="n">
        <f aca="false">IF(D40&gt;0,E40/D40,0)</f>
        <v>0</v>
      </c>
      <c r="G40" s="4" t="n">
        <v>0</v>
      </c>
      <c r="H40" s="6" t="n">
        <v>5385</v>
      </c>
      <c r="I40" s="4" t="s">
        <v>264</v>
      </c>
      <c r="J40" s="4" t="n">
        <v>366</v>
      </c>
      <c r="K40" s="4" t="str">
        <f aca="false">IF(J40&lt;=30,"🔴 NOW",IF(J40&lt;=60,"🟠 Soon",IF(J40&lt;=90,"🟡 Q1",IF(J40&lt;=180,"🟢 Q2","⚪ Later"))))</f>
        <v>⚪ Later</v>
      </c>
      <c r="L40" s="7" t="n">
        <v>0</v>
      </c>
      <c r="M40" s="8" t="n">
        <f aca="false">IF(B40="Defined Group",5,4)</f>
        <v>5</v>
      </c>
      <c r="N40" s="8" t="n">
        <f aca="false">IF(C40="Extra Green",25,IF(C40="Green",20,IF(C40="Yellow",8,IF(C40="Red",3,0))))</f>
        <v>0</v>
      </c>
      <c r="O40" s="8" t="n">
        <f aca="false">IF(F40&gt;=1,18,IF(F40&gt;=0.95,16,IF(F40&gt;=0.9,14,IF(F40&gt;=0.8,10,IF(F40&gt;=0.7,6,2)))))</f>
        <v>2</v>
      </c>
      <c r="P40" s="8" t="n">
        <f aca="false">IF(L40=0,0,IF(L40&gt;=50,25,IF(L40&gt;=30,22,IF(L40&gt;=20,18,IF(L40&gt;=10,14,IF(L40&gt;=5,10,5))))))</f>
        <v>0</v>
      </c>
      <c r="Q40" s="8" t="n">
        <f aca="false">IF(H40&gt;=25000,10,IF(H40&gt;=15000,8,IF(H40&gt;=10000,6,IF(H40&gt;=5000,4,2))))</f>
        <v>4</v>
      </c>
      <c r="R40" s="8" t="n">
        <f aca="false">IF(J40&lt;=30,20,IF(J40&lt;=60,17,IF(J40&lt;=90,14,IF(J40&lt;=120,10,IF(J40&lt;=180,5,2)))))</f>
        <v>2</v>
      </c>
      <c r="S40" s="9" t="n">
        <f aca="false">IF(L40=0,0,M40+N40+O40+P40+Q40+R40)</f>
        <v>0</v>
      </c>
      <c r="T40" s="8" t="str">
        <f aca="false">IF(L40=0,"Need Hex Data",IF(S40&gt;=75,"Tier 1",IF(S40&gt;=55,"Tier 2",IF(S40&gt;=35,"Tier 3","Below Threshold"))))</f>
        <v>Need Hex Data</v>
      </c>
    </row>
    <row r="41" customFormat="false" ht="15" hidden="false" customHeight="false" outlineLevel="0" collapsed="false">
      <c r="A41" s="4" t="s">
        <v>265</v>
      </c>
      <c r="B41" s="4" t="s">
        <v>266</v>
      </c>
      <c r="C41" s="4" t="s">
        <v>43</v>
      </c>
      <c r="D41" s="4" t="n">
        <v>150</v>
      </c>
      <c r="E41" s="4" t="n">
        <v>255</v>
      </c>
      <c r="F41" s="5" t="n">
        <f aca="false">IF(D41&gt;0,E41/D41,0)</f>
        <v>1.7</v>
      </c>
      <c r="G41" s="4" t="n">
        <v>135</v>
      </c>
      <c r="H41" s="6" t="n">
        <v>30810</v>
      </c>
      <c r="I41" s="4" t="s">
        <v>267</v>
      </c>
      <c r="J41" s="4" t="n">
        <v>368</v>
      </c>
      <c r="K41" s="4" t="str">
        <f aca="false">IF(J41&lt;=30,"🔴 NOW",IF(J41&lt;=60,"🟠 Soon",IF(J41&lt;=90,"🟡 Q1",IF(J41&lt;=180,"🟢 Q2","⚪ Later"))))</f>
        <v>⚪ Later</v>
      </c>
      <c r="L41" s="7" t="n">
        <v>0</v>
      </c>
      <c r="M41" s="8" t="n">
        <f aca="false">IF(B41="Defined Group",5,4)</f>
        <v>4</v>
      </c>
      <c r="N41" s="8" t="n">
        <f aca="false">IF(C41="Extra Green",25,IF(C41="Green",20,IF(C41="Yellow",8,IF(C41="Red",3,0))))</f>
        <v>8</v>
      </c>
      <c r="O41" s="8" t="n">
        <f aca="false">IF(F41&gt;=1,18,IF(F41&gt;=0.95,16,IF(F41&gt;=0.9,14,IF(F41&gt;=0.8,10,IF(F41&gt;=0.7,6,2)))))</f>
        <v>18</v>
      </c>
      <c r="P41" s="8" t="n">
        <f aca="false">IF(L41=0,0,IF(L41&gt;=50,25,IF(L41&gt;=30,22,IF(L41&gt;=20,18,IF(L41&gt;=10,14,IF(L41&gt;=5,10,5))))))</f>
        <v>0</v>
      </c>
      <c r="Q41" s="8" t="n">
        <f aca="false">IF(H41&gt;=25000,10,IF(H41&gt;=15000,8,IF(H41&gt;=10000,6,IF(H41&gt;=5000,4,2))))</f>
        <v>10</v>
      </c>
      <c r="R41" s="8" t="n">
        <f aca="false">IF(J41&lt;=30,20,IF(J41&lt;=60,17,IF(J41&lt;=90,14,IF(J41&lt;=120,10,IF(J41&lt;=180,5,2)))))</f>
        <v>2</v>
      </c>
      <c r="S41" s="9" t="n">
        <f aca="false">IF(L41=0,0,M41+N41+O41+P41+Q41+R41)</f>
        <v>0</v>
      </c>
      <c r="T41" s="8" t="str">
        <f aca="false">IF(L41=0,"Need Hex Data",IF(S41&gt;=75,"Tier 1",IF(S41&gt;=55,"Tier 2",IF(S41&gt;=35,"Tier 3","Below Threshold"))))</f>
        <v>Need Hex Data</v>
      </c>
    </row>
    <row r="42" customFormat="false" ht="15" hidden="false" customHeight="false" outlineLevel="0" collapsed="false">
      <c r="A42" s="4" t="s">
        <v>268</v>
      </c>
      <c r="B42" s="4" t="s">
        <v>203</v>
      </c>
      <c r="C42" s="4" t="s">
        <v>23</v>
      </c>
      <c r="D42" s="4" t="n">
        <v>83</v>
      </c>
      <c r="E42" s="4" t="n">
        <v>101</v>
      </c>
      <c r="F42" s="5" t="n">
        <f aca="false">IF(D42&gt;0,E42/D42,0)</f>
        <v>1.21686746987952</v>
      </c>
      <c r="G42" s="4" t="n">
        <v>58</v>
      </c>
      <c r="H42" s="6" t="n">
        <v>17878.2</v>
      </c>
      <c r="I42" s="4" t="s">
        <v>269</v>
      </c>
      <c r="J42" s="4" t="n">
        <v>378</v>
      </c>
      <c r="K42" s="4" t="str">
        <f aca="false">IF(J42&lt;=30,"🔴 NOW",IF(J42&lt;=60,"🟠 Soon",IF(J42&lt;=90,"🟡 Q1",IF(J42&lt;=180,"🟢 Q2","⚪ Later"))))</f>
        <v>⚪ Later</v>
      </c>
      <c r="L42" s="7" t="n">
        <v>0</v>
      </c>
      <c r="M42" s="8" t="n">
        <f aca="false">IF(B42="Defined Group",5,4)</f>
        <v>5</v>
      </c>
      <c r="N42" s="8" t="n">
        <f aca="false">IF(C42="Extra Green",25,IF(C42="Green",20,IF(C42="Yellow",8,IF(C42="Red",3,0))))</f>
        <v>3</v>
      </c>
      <c r="O42" s="8" t="n">
        <f aca="false">IF(F42&gt;=1,18,IF(F42&gt;=0.95,16,IF(F42&gt;=0.9,14,IF(F42&gt;=0.8,10,IF(F42&gt;=0.7,6,2)))))</f>
        <v>18</v>
      </c>
      <c r="P42" s="8" t="n">
        <f aca="false">IF(L42=0,0,IF(L42&gt;=50,25,IF(L42&gt;=30,22,IF(L42&gt;=20,18,IF(L42&gt;=10,14,IF(L42&gt;=5,10,5))))))</f>
        <v>0</v>
      </c>
      <c r="Q42" s="8" t="n">
        <f aca="false">IF(H42&gt;=25000,10,IF(H42&gt;=15000,8,IF(H42&gt;=10000,6,IF(H42&gt;=5000,4,2))))</f>
        <v>8</v>
      </c>
      <c r="R42" s="8" t="n">
        <f aca="false">IF(J42&lt;=30,20,IF(J42&lt;=60,17,IF(J42&lt;=90,14,IF(J42&lt;=120,10,IF(J42&lt;=180,5,2)))))</f>
        <v>2</v>
      </c>
      <c r="S42" s="9" t="n">
        <f aca="false">IF(L42=0,0,M42+N42+O42+P42+Q42+R42)</f>
        <v>0</v>
      </c>
      <c r="T42" s="8" t="str">
        <f aca="false">IF(L42=0,"Need Hex Data",IF(S42&gt;=75,"Tier 1",IF(S42&gt;=55,"Tier 2",IF(S42&gt;=35,"Tier 3","Below Threshold"))))</f>
        <v>Need Hex Data</v>
      </c>
    </row>
    <row r="43" customFormat="false" ht="15" hidden="false" customHeight="false" outlineLevel="0" collapsed="false">
      <c r="A43" s="4" t="s">
        <v>270</v>
      </c>
      <c r="B43" s="4" t="s">
        <v>203</v>
      </c>
      <c r="C43" s="4" t="s">
        <v>43</v>
      </c>
      <c r="D43" s="4" t="n">
        <v>44</v>
      </c>
      <c r="E43" s="4" t="n">
        <v>58</v>
      </c>
      <c r="F43" s="5" t="n">
        <f aca="false">IF(D43&gt;0,E43/D43,0)</f>
        <v>1.31818181818182</v>
      </c>
      <c r="G43" s="4" t="n">
        <v>41</v>
      </c>
      <c r="H43" s="6" t="n">
        <v>9477.6</v>
      </c>
      <c r="I43" s="4" t="s">
        <v>271</v>
      </c>
      <c r="J43" s="4" t="n">
        <v>388</v>
      </c>
      <c r="K43" s="4" t="str">
        <f aca="false">IF(J43&lt;=30,"🔴 NOW",IF(J43&lt;=60,"🟠 Soon",IF(J43&lt;=90,"🟡 Q1",IF(J43&lt;=180,"🟢 Q2","⚪ Later"))))</f>
        <v>⚪ Later</v>
      </c>
      <c r="L43" s="7" t="n">
        <v>0</v>
      </c>
      <c r="M43" s="8" t="n">
        <f aca="false">IF(B43="Defined Group",5,4)</f>
        <v>5</v>
      </c>
      <c r="N43" s="8" t="n">
        <f aca="false">IF(C43="Extra Green",25,IF(C43="Green",20,IF(C43="Yellow",8,IF(C43="Red",3,0))))</f>
        <v>8</v>
      </c>
      <c r="O43" s="8" t="n">
        <f aca="false">IF(F43&gt;=1,18,IF(F43&gt;=0.95,16,IF(F43&gt;=0.9,14,IF(F43&gt;=0.8,10,IF(F43&gt;=0.7,6,2)))))</f>
        <v>18</v>
      </c>
      <c r="P43" s="8" t="n">
        <f aca="false">IF(L43=0,0,IF(L43&gt;=50,25,IF(L43&gt;=30,22,IF(L43&gt;=20,18,IF(L43&gt;=10,14,IF(L43&gt;=5,10,5))))))</f>
        <v>0</v>
      </c>
      <c r="Q43" s="8" t="n">
        <f aca="false">IF(H43&gt;=25000,10,IF(H43&gt;=15000,8,IF(H43&gt;=10000,6,IF(H43&gt;=5000,4,2))))</f>
        <v>4</v>
      </c>
      <c r="R43" s="8" t="n">
        <f aca="false">IF(J43&lt;=30,20,IF(J43&lt;=60,17,IF(J43&lt;=90,14,IF(J43&lt;=120,10,IF(J43&lt;=180,5,2)))))</f>
        <v>2</v>
      </c>
      <c r="S43" s="9" t="n">
        <f aca="false">IF(L43=0,0,M43+N43+O43+P43+Q43+R43)</f>
        <v>0</v>
      </c>
      <c r="T43" s="8" t="str">
        <f aca="false">IF(L43=0,"Need Hex Data",IF(S43&gt;=75,"Tier 1",IF(S43&gt;=55,"Tier 2",IF(S43&gt;=35,"Tier 3","Below Threshold"))))</f>
        <v>Need Hex Data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45"/>
  </cols>
  <sheetData>
    <row r="1" customFormat="false" ht="17.35" hidden="false" customHeight="false" outlineLevel="0" collapsed="false">
      <c r="A1" s="1" t="s">
        <v>272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7" t="s">
        <v>273</v>
      </c>
      <c r="B2" s="17"/>
      <c r="C2" s="17"/>
      <c r="D2" s="17"/>
      <c r="E2" s="17"/>
      <c r="F2" s="17"/>
      <c r="G2" s="17"/>
      <c r="H2" s="17"/>
      <c r="I2" s="17"/>
      <c r="J2" s="17"/>
    </row>
    <row r="4" customFormat="false" ht="15" hidden="false" customHeight="false" outlineLevel="0" collapsed="false">
      <c r="A4" s="18" t="s">
        <v>2</v>
      </c>
      <c r="B4" s="18" t="s">
        <v>3</v>
      </c>
      <c r="C4" s="18" t="s">
        <v>274</v>
      </c>
      <c r="D4" s="18" t="s">
        <v>4</v>
      </c>
      <c r="E4" s="18" t="s">
        <v>275</v>
      </c>
      <c r="F4" s="18" t="s">
        <v>9</v>
      </c>
      <c r="G4" s="18" t="s">
        <v>10</v>
      </c>
      <c r="H4" s="18" t="s">
        <v>276</v>
      </c>
      <c r="I4" s="18" t="s">
        <v>277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278</v>
      </c>
      <c r="D5" s="4" t="s">
        <v>23</v>
      </c>
      <c r="E5" s="5" t="n">
        <v>0.890909090909091</v>
      </c>
      <c r="F5" s="6" t="n">
        <v>10123.8</v>
      </c>
      <c r="G5" s="4" t="s">
        <v>24</v>
      </c>
      <c r="H5" s="4" t="n">
        <v>-28</v>
      </c>
      <c r="I5" s="4" t="s">
        <v>279</v>
      </c>
    </row>
    <row r="6" customFormat="false" ht="15" hidden="false" customHeight="false" outlineLevel="0" collapsed="false">
      <c r="A6" s="4" t="s">
        <v>25</v>
      </c>
      <c r="B6" s="4" t="s">
        <v>22</v>
      </c>
      <c r="C6" s="4" t="s">
        <v>278</v>
      </c>
      <c r="D6" s="4" t="s">
        <v>23</v>
      </c>
      <c r="E6" s="5" t="n">
        <v>0.593103448275862</v>
      </c>
      <c r="F6" s="6" t="n">
        <v>24771</v>
      </c>
      <c r="G6" s="4" t="s">
        <v>26</v>
      </c>
      <c r="H6" s="4" t="n">
        <v>-15</v>
      </c>
      <c r="I6" s="4" t="s">
        <v>279</v>
      </c>
    </row>
    <row r="7" customFormat="false" ht="15" hidden="false" customHeight="false" outlineLevel="0" collapsed="false">
      <c r="A7" s="4" t="s">
        <v>27</v>
      </c>
      <c r="B7" s="4" t="s">
        <v>22</v>
      </c>
      <c r="C7" s="4" t="s">
        <v>278</v>
      </c>
      <c r="D7" s="4" t="s">
        <v>23</v>
      </c>
      <c r="E7" s="5" t="n">
        <v>0.766666666666667</v>
      </c>
      <c r="F7" s="6" t="n">
        <v>4308</v>
      </c>
      <c r="G7" s="4" t="s">
        <v>28</v>
      </c>
      <c r="H7" s="4" t="n">
        <v>0</v>
      </c>
      <c r="I7" s="4" t="s">
        <v>279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278</v>
      </c>
      <c r="D8" s="4" t="s">
        <v>23</v>
      </c>
      <c r="E8" s="5" t="n">
        <v>0.9</v>
      </c>
      <c r="F8" s="6" t="n">
        <v>8185.2</v>
      </c>
      <c r="G8" s="4" t="s">
        <v>31</v>
      </c>
      <c r="H8" s="4" t="n">
        <v>4</v>
      </c>
      <c r="I8" s="4" t="s">
        <v>279</v>
      </c>
    </row>
    <row r="9" customFormat="false" ht="15" hidden="false" customHeight="false" outlineLevel="0" collapsed="false">
      <c r="A9" s="11" t="s">
        <v>202</v>
      </c>
      <c r="B9" s="11" t="s">
        <v>203</v>
      </c>
      <c r="C9" s="11" t="s">
        <v>280</v>
      </c>
      <c r="D9" s="11" t="s">
        <v>43</v>
      </c>
      <c r="E9" s="12" t="n">
        <v>1.36585365853659</v>
      </c>
      <c r="F9" s="13" t="n">
        <v>8831.4</v>
      </c>
      <c r="G9" s="11" t="s">
        <v>31</v>
      </c>
      <c r="H9" s="11" t="n">
        <v>4</v>
      </c>
      <c r="I9" s="11" t="s">
        <v>281</v>
      </c>
    </row>
    <row r="10" customFormat="false" ht="15" hidden="false" customHeight="false" outlineLevel="0" collapsed="false">
      <c r="A10" s="4" t="s">
        <v>32</v>
      </c>
      <c r="B10" s="4" t="s">
        <v>33</v>
      </c>
      <c r="C10" s="4" t="s">
        <v>278</v>
      </c>
      <c r="D10" s="4" t="s">
        <v>23</v>
      </c>
      <c r="E10" s="5" t="n">
        <v>0.968421052631579</v>
      </c>
      <c r="F10" s="6" t="n">
        <v>18943</v>
      </c>
      <c r="G10" s="4" t="s">
        <v>34</v>
      </c>
      <c r="H10" s="4" t="n">
        <v>17</v>
      </c>
      <c r="I10" s="4" t="s">
        <v>279</v>
      </c>
    </row>
    <row r="11" customFormat="false" ht="15" hidden="false" customHeight="false" outlineLevel="0" collapsed="false">
      <c r="A11" s="4" t="s">
        <v>35</v>
      </c>
      <c r="B11" s="4" t="s">
        <v>33</v>
      </c>
      <c r="C11" s="4" t="s">
        <v>278</v>
      </c>
      <c r="D11" s="4" t="s">
        <v>36</v>
      </c>
      <c r="E11" s="5" t="n">
        <v>1</v>
      </c>
      <c r="F11" s="6" t="n">
        <v>5169.6</v>
      </c>
      <c r="G11" s="4" t="s">
        <v>37</v>
      </c>
      <c r="H11" s="4" t="n">
        <v>19</v>
      </c>
      <c r="I11" s="4" t="s">
        <v>279</v>
      </c>
    </row>
    <row r="12" customFormat="false" ht="15" hidden="false" customHeight="false" outlineLevel="0" collapsed="false">
      <c r="A12" s="4" t="s">
        <v>38</v>
      </c>
      <c r="B12" s="4" t="s">
        <v>33</v>
      </c>
      <c r="C12" s="4" t="s">
        <v>278</v>
      </c>
      <c r="D12" s="4" t="s">
        <v>36</v>
      </c>
      <c r="E12" s="5" t="n">
        <v>0.95</v>
      </c>
      <c r="F12" s="6" t="n">
        <v>4308</v>
      </c>
      <c r="G12" s="4" t="s">
        <v>39</v>
      </c>
      <c r="H12" s="4" t="n">
        <v>23</v>
      </c>
      <c r="I12" s="4" t="s">
        <v>279</v>
      </c>
    </row>
    <row r="13" customFormat="false" ht="15" hidden="false" customHeight="false" outlineLevel="0" collapsed="false">
      <c r="A13" s="4" t="s">
        <v>40</v>
      </c>
      <c r="B13" s="4" t="s">
        <v>33</v>
      </c>
      <c r="C13" s="4" t="s">
        <v>278</v>
      </c>
      <c r="D13" s="4" t="s">
        <v>36</v>
      </c>
      <c r="E13" s="5" t="n">
        <v>1</v>
      </c>
      <c r="F13" s="6" t="n">
        <v>5385</v>
      </c>
      <c r="G13" s="4" t="s">
        <v>41</v>
      </c>
      <c r="H13" s="4" t="n">
        <v>26</v>
      </c>
      <c r="I13" s="4" t="s">
        <v>279</v>
      </c>
    </row>
    <row r="14" customFormat="false" ht="15" hidden="false" customHeight="false" outlineLevel="0" collapsed="false">
      <c r="A14" s="4" t="s">
        <v>42</v>
      </c>
      <c r="B14" s="4" t="s">
        <v>22</v>
      </c>
      <c r="C14" s="4" t="s">
        <v>278</v>
      </c>
      <c r="D14" s="4" t="s">
        <v>43</v>
      </c>
      <c r="E14" s="5" t="n">
        <v>0.936507936507937</v>
      </c>
      <c r="F14" s="6" t="n">
        <v>9262.2</v>
      </c>
      <c r="G14" s="4" t="s">
        <v>44</v>
      </c>
      <c r="H14" s="4" t="n">
        <v>35</v>
      </c>
      <c r="I14" s="4" t="s">
        <v>279</v>
      </c>
    </row>
    <row r="15" customFormat="false" ht="15" hidden="false" customHeight="false" outlineLevel="0" collapsed="false">
      <c r="A15" s="4" t="s">
        <v>45</v>
      </c>
      <c r="B15" s="4" t="s">
        <v>22</v>
      </c>
      <c r="C15" s="4" t="s">
        <v>278</v>
      </c>
      <c r="D15" s="4" t="s">
        <v>43</v>
      </c>
      <c r="E15" s="5" t="n">
        <v>0.966666666666667</v>
      </c>
      <c r="F15" s="6" t="n">
        <v>4308</v>
      </c>
      <c r="G15" s="4" t="s">
        <v>46</v>
      </c>
      <c r="H15" s="4" t="n">
        <v>36</v>
      </c>
      <c r="I15" s="4" t="s">
        <v>279</v>
      </c>
    </row>
    <row r="16" customFormat="false" ht="15" hidden="false" customHeight="false" outlineLevel="0" collapsed="false">
      <c r="A16" s="4" t="s">
        <v>47</v>
      </c>
      <c r="B16" s="4" t="s">
        <v>33</v>
      </c>
      <c r="C16" s="4" t="s">
        <v>278</v>
      </c>
      <c r="D16" s="4" t="s">
        <v>43</v>
      </c>
      <c r="E16" s="5" t="n">
        <v>0.983870967741936</v>
      </c>
      <c r="F16" s="6" t="n">
        <v>12924</v>
      </c>
      <c r="G16" s="4" t="s">
        <v>48</v>
      </c>
      <c r="H16" s="4" t="n">
        <v>41</v>
      </c>
      <c r="I16" s="4" t="s">
        <v>279</v>
      </c>
    </row>
    <row r="17" customFormat="false" ht="15" hidden="false" customHeight="false" outlineLevel="0" collapsed="false">
      <c r="A17" s="11" t="s">
        <v>204</v>
      </c>
      <c r="B17" s="11" t="s">
        <v>203</v>
      </c>
      <c r="C17" s="11" t="s">
        <v>280</v>
      </c>
      <c r="D17" s="11" t="s">
        <v>23</v>
      </c>
      <c r="E17" s="12" t="n">
        <v>1.35849056603774</v>
      </c>
      <c r="F17" s="13" t="n">
        <v>11416.2</v>
      </c>
      <c r="G17" s="11" t="s">
        <v>205</v>
      </c>
      <c r="H17" s="11" t="n">
        <v>43</v>
      </c>
      <c r="I17" s="11" t="s">
        <v>281</v>
      </c>
    </row>
    <row r="18" customFormat="false" ht="15" hidden="false" customHeight="false" outlineLevel="0" collapsed="false">
      <c r="A18" s="4" t="s">
        <v>51</v>
      </c>
      <c r="B18" s="4" t="s">
        <v>30</v>
      </c>
      <c r="C18" s="4" t="s">
        <v>278</v>
      </c>
      <c r="D18" s="4" t="s">
        <v>23</v>
      </c>
      <c r="E18" s="5" t="n">
        <v>0.96</v>
      </c>
      <c r="F18" s="6" t="n">
        <v>5385</v>
      </c>
      <c r="G18" s="4" t="s">
        <v>50</v>
      </c>
      <c r="H18" s="4" t="n">
        <v>44</v>
      </c>
      <c r="I18" s="4" t="s">
        <v>279</v>
      </c>
    </row>
    <row r="19" customFormat="false" ht="15" hidden="false" customHeight="false" outlineLevel="0" collapsed="false">
      <c r="A19" s="4" t="s">
        <v>49</v>
      </c>
      <c r="B19" s="4" t="s">
        <v>33</v>
      </c>
      <c r="C19" s="4" t="s">
        <v>278</v>
      </c>
      <c r="D19" s="4" t="s">
        <v>23</v>
      </c>
      <c r="E19" s="5" t="n">
        <v>0.5</v>
      </c>
      <c r="F19" s="6" t="n">
        <v>4308</v>
      </c>
      <c r="G19" s="4" t="s">
        <v>50</v>
      </c>
      <c r="H19" s="4" t="n">
        <v>44</v>
      </c>
      <c r="I19" s="4" t="s">
        <v>279</v>
      </c>
    </row>
    <row r="20" customFormat="false" ht="15" hidden="false" customHeight="false" outlineLevel="0" collapsed="false">
      <c r="A20" s="4" t="s">
        <v>52</v>
      </c>
      <c r="B20" s="4" t="s">
        <v>33</v>
      </c>
      <c r="C20" s="4" t="s">
        <v>278</v>
      </c>
      <c r="D20" s="4" t="s">
        <v>43</v>
      </c>
      <c r="E20" s="5" t="n">
        <v>0.952380952380952</v>
      </c>
      <c r="F20" s="6" t="n">
        <v>4523.4</v>
      </c>
      <c r="G20" s="4" t="s">
        <v>53</v>
      </c>
      <c r="H20" s="4" t="n">
        <v>47</v>
      </c>
      <c r="I20" s="4" t="s">
        <v>279</v>
      </c>
    </row>
    <row r="21" customFormat="false" ht="15" hidden="false" customHeight="false" outlineLevel="0" collapsed="false">
      <c r="A21" s="11" t="s">
        <v>206</v>
      </c>
      <c r="B21" s="11" t="s">
        <v>203</v>
      </c>
      <c r="C21" s="11" t="s">
        <v>280</v>
      </c>
      <c r="D21" s="11" t="s">
        <v>23</v>
      </c>
      <c r="E21" s="12" t="n">
        <v>0.866666666666667</v>
      </c>
      <c r="F21" s="13" t="n">
        <v>9693</v>
      </c>
      <c r="G21" s="11" t="s">
        <v>207</v>
      </c>
      <c r="H21" s="11" t="n">
        <v>51</v>
      </c>
      <c r="I21" s="11" t="s">
        <v>281</v>
      </c>
    </row>
    <row r="22" customFormat="false" ht="15" hidden="false" customHeight="false" outlineLevel="0" collapsed="false">
      <c r="A22" s="11" t="s">
        <v>208</v>
      </c>
      <c r="B22" s="11" t="s">
        <v>203</v>
      </c>
      <c r="C22" s="11" t="s">
        <v>280</v>
      </c>
      <c r="D22" s="11" t="s">
        <v>23</v>
      </c>
      <c r="E22" s="12" t="n">
        <v>1.16666666666667</v>
      </c>
      <c r="F22" s="13" t="n">
        <v>5169.6</v>
      </c>
      <c r="G22" s="11" t="s">
        <v>209</v>
      </c>
      <c r="H22" s="11" t="n">
        <v>57</v>
      </c>
      <c r="I22" s="11" t="s">
        <v>281</v>
      </c>
    </row>
    <row r="23" customFormat="false" ht="15" hidden="false" customHeight="false" outlineLevel="0" collapsed="false">
      <c r="A23" s="4" t="s">
        <v>56</v>
      </c>
      <c r="B23" s="4" t="s">
        <v>33</v>
      </c>
      <c r="C23" s="4" t="s">
        <v>278</v>
      </c>
      <c r="D23" s="4" t="s">
        <v>43</v>
      </c>
      <c r="E23" s="5" t="n">
        <v>1</v>
      </c>
      <c r="F23" s="6" t="n">
        <v>10770</v>
      </c>
      <c r="G23" s="4" t="s">
        <v>55</v>
      </c>
      <c r="H23" s="4" t="n">
        <v>59</v>
      </c>
      <c r="I23" s="4" t="s">
        <v>279</v>
      </c>
    </row>
    <row r="24" customFormat="false" ht="15" hidden="false" customHeight="false" outlineLevel="0" collapsed="false">
      <c r="A24" s="4" t="s">
        <v>54</v>
      </c>
      <c r="B24" s="4" t="s">
        <v>33</v>
      </c>
      <c r="C24" s="4" t="s">
        <v>278</v>
      </c>
      <c r="D24" s="4" t="s">
        <v>36</v>
      </c>
      <c r="E24" s="5" t="n">
        <v>0.95</v>
      </c>
      <c r="F24" s="6" t="n">
        <v>4308</v>
      </c>
      <c r="G24" s="4" t="s">
        <v>55</v>
      </c>
      <c r="H24" s="4" t="n">
        <v>59</v>
      </c>
      <c r="I24" s="4" t="s">
        <v>279</v>
      </c>
    </row>
    <row r="25" customFormat="false" ht="15" hidden="false" customHeight="false" outlineLevel="0" collapsed="false">
      <c r="A25" s="11" t="s">
        <v>210</v>
      </c>
      <c r="B25" s="11" t="s">
        <v>203</v>
      </c>
      <c r="C25" s="11" t="s">
        <v>280</v>
      </c>
      <c r="D25" s="11" t="s">
        <v>23</v>
      </c>
      <c r="E25" s="12" t="n">
        <v>1.04761904761905</v>
      </c>
      <c r="F25" s="13" t="n">
        <v>4523.4</v>
      </c>
      <c r="G25" s="11" t="s">
        <v>211</v>
      </c>
      <c r="H25" s="11" t="n">
        <v>60</v>
      </c>
      <c r="I25" s="11" t="s">
        <v>281</v>
      </c>
    </row>
    <row r="26" customFormat="false" ht="15" hidden="false" customHeight="false" outlineLevel="0" collapsed="false">
      <c r="A26" s="4" t="s">
        <v>57</v>
      </c>
      <c r="B26" s="4" t="s">
        <v>33</v>
      </c>
      <c r="C26" s="4" t="s">
        <v>278</v>
      </c>
      <c r="D26" s="4" t="s">
        <v>43</v>
      </c>
      <c r="E26" s="5" t="n">
        <v>0.969230769230769</v>
      </c>
      <c r="F26" s="6" t="n">
        <v>14001</v>
      </c>
      <c r="G26" s="4" t="s">
        <v>58</v>
      </c>
      <c r="H26" s="4" t="n">
        <v>61</v>
      </c>
      <c r="I26" s="4" t="s">
        <v>279</v>
      </c>
    </row>
    <row r="27" customFormat="false" ht="15" hidden="false" customHeight="false" outlineLevel="0" collapsed="false">
      <c r="A27" s="4" t="s">
        <v>59</v>
      </c>
      <c r="B27" s="4" t="s">
        <v>33</v>
      </c>
      <c r="C27" s="4" t="s">
        <v>278</v>
      </c>
      <c r="D27" s="4" t="s">
        <v>36</v>
      </c>
      <c r="E27" s="5" t="n">
        <v>1</v>
      </c>
      <c r="F27" s="6" t="n">
        <v>7323.6</v>
      </c>
      <c r="G27" s="4" t="s">
        <v>60</v>
      </c>
      <c r="H27" s="4" t="n">
        <v>63</v>
      </c>
      <c r="I27" s="4" t="s">
        <v>279</v>
      </c>
    </row>
    <row r="28" customFormat="false" ht="15" hidden="false" customHeight="false" outlineLevel="0" collapsed="false">
      <c r="A28" s="4" t="s">
        <v>61</v>
      </c>
      <c r="B28" s="4" t="s">
        <v>33</v>
      </c>
      <c r="C28" s="4" t="s">
        <v>278</v>
      </c>
      <c r="D28" s="4" t="s">
        <v>43</v>
      </c>
      <c r="E28" s="5" t="n">
        <v>0.88</v>
      </c>
      <c r="F28" s="6" t="n">
        <v>10770</v>
      </c>
      <c r="G28" s="4" t="s">
        <v>62</v>
      </c>
      <c r="H28" s="4" t="n">
        <v>66</v>
      </c>
      <c r="I28" s="4" t="s">
        <v>279</v>
      </c>
    </row>
    <row r="29" customFormat="false" ht="15" hidden="false" customHeight="false" outlineLevel="0" collapsed="false">
      <c r="A29" s="4" t="s">
        <v>63</v>
      </c>
      <c r="B29" s="4" t="s">
        <v>33</v>
      </c>
      <c r="C29" s="4" t="s">
        <v>278</v>
      </c>
      <c r="D29" s="4" t="s">
        <v>43</v>
      </c>
      <c r="E29" s="5" t="n">
        <v>0.986301369863014</v>
      </c>
      <c r="F29" s="6" t="n">
        <v>15724.2</v>
      </c>
      <c r="G29" s="4" t="s">
        <v>64</v>
      </c>
      <c r="H29" s="4" t="n">
        <v>73</v>
      </c>
      <c r="I29" s="4" t="s">
        <v>279</v>
      </c>
    </row>
    <row r="30" customFormat="false" ht="15" hidden="false" customHeight="false" outlineLevel="0" collapsed="false">
      <c r="A30" s="4" t="s">
        <v>65</v>
      </c>
      <c r="B30" s="4" t="s">
        <v>22</v>
      </c>
      <c r="C30" s="4" t="s">
        <v>278</v>
      </c>
      <c r="D30" s="4" t="s">
        <v>23</v>
      </c>
      <c r="E30" s="5" t="n">
        <v>0.936170212765958</v>
      </c>
      <c r="F30" s="6" t="n">
        <v>9477.6</v>
      </c>
      <c r="G30" s="4" t="s">
        <v>64</v>
      </c>
      <c r="H30" s="4" t="n">
        <v>73</v>
      </c>
      <c r="I30" s="4" t="s">
        <v>279</v>
      </c>
    </row>
    <row r="31" customFormat="false" ht="15" hidden="false" customHeight="false" outlineLevel="0" collapsed="false">
      <c r="A31" s="4" t="s">
        <v>68</v>
      </c>
      <c r="B31" s="4" t="s">
        <v>33</v>
      </c>
      <c r="C31" s="4" t="s">
        <v>278</v>
      </c>
      <c r="D31" s="4" t="s">
        <v>43</v>
      </c>
      <c r="E31" s="5" t="n">
        <v>0.933333333333333</v>
      </c>
      <c r="F31" s="6" t="n">
        <v>6462</v>
      </c>
      <c r="G31" s="4" t="s">
        <v>67</v>
      </c>
      <c r="H31" s="4" t="n">
        <v>74</v>
      </c>
      <c r="I31" s="4" t="s">
        <v>279</v>
      </c>
    </row>
    <row r="32" customFormat="false" ht="15" hidden="false" customHeight="false" outlineLevel="0" collapsed="false">
      <c r="A32" s="4" t="s">
        <v>66</v>
      </c>
      <c r="B32" s="4" t="s">
        <v>33</v>
      </c>
      <c r="C32" s="4" t="s">
        <v>278</v>
      </c>
      <c r="D32" s="4" t="s">
        <v>36</v>
      </c>
      <c r="E32" s="5" t="n">
        <v>0.959183673469388</v>
      </c>
      <c r="F32" s="6" t="n">
        <v>10123.8</v>
      </c>
      <c r="G32" s="4" t="s">
        <v>67</v>
      </c>
      <c r="H32" s="4" t="n">
        <v>74</v>
      </c>
      <c r="I32" s="4" t="s">
        <v>279</v>
      </c>
    </row>
    <row r="33" customFormat="false" ht="15" hidden="false" customHeight="false" outlineLevel="0" collapsed="false">
      <c r="A33" s="11" t="s">
        <v>212</v>
      </c>
      <c r="B33" s="11" t="s">
        <v>203</v>
      </c>
      <c r="C33" s="11" t="s">
        <v>280</v>
      </c>
      <c r="D33" s="11" t="s">
        <v>23</v>
      </c>
      <c r="E33" s="12" t="n">
        <v>1.7125</v>
      </c>
      <c r="F33" s="13" t="n">
        <v>17232</v>
      </c>
      <c r="G33" s="11" t="s">
        <v>213</v>
      </c>
      <c r="H33" s="11" t="n">
        <v>80</v>
      </c>
      <c r="I33" s="11" t="s">
        <v>281</v>
      </c>
    </row>
    <row r="34" customFormat="false" ht="15" hidden="false" customHeight="false" outlineLevel="0" collapsed="false">
      <c r="A34" s="4" t="s">
        <v>69</v>
      </c>
      <c r="B34" s="4" t="s">
        <v>33</v>
      </c>
      <c r="C34" s="4" t="s">
        <v>278</v>
      </c>
      <c r="D34" s="4" t="s">
        <v>43</v>
      </c>
      <c r="E34" s="5" t="n">
        <v>0.916666666666667</v>
      </c>
      <c r="F34" s="6" t="n">
        <v>7539</v>
      </c>
      <c r="G34" s="4" t="s">
        <v>70</v>
      </c>
      <c r="H34" s="4" t="n">
        <v>83</v>
      </c>
      <c r="I34" s="4" t="s">
        <v>279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9" t="s">
        <v>282</v>
      </c>
      <c r="B1" s="19"/>
      <c r="C1" s="19"/>
      <c r="D1" s="19"/>
      <c r="E1" s="19"/>
    </row>
    <row r="3" customFormat="false" ht="15" hidden="false" customHeight="false" outlineLevel="0" collapsed="false">
      <c r="A3" s="20" t="s">
        <v>283</v>
      </c>
    </row>
    <row r="4" customFormat="false" ht="15" hidden="false" customHeight="false" outlineLevel="0" collapsed="false">
      <c r="A4" s="18" t="s">
        <v>284</v>
      </c>
      <c r="B4" s="18" t="s">
        <v>285</v>
      </c>
    </row>
    <row r="5" customFormat="false" ht="15" hidden="false" customHeight="false" outlineLevel="0" collapsed="false">
      <c r="A5" s="4" t="s">
        <v>286</v>
      </c>
      <c r="B5" s="6" t="n">
        <v>318000</v>
      </c>
    </row>
    <row r="6" customFormat="false" ht="15" hidden="false" customHeight="false" outlineLevel="0" collapsed="false">
      <c r="A6" s="4" t="s">
        <v>287</v>
      </c>
      <c r="B6" s="6" t="n">
        <f aca="false">B5*0.17</f>
        <v>54060</v>
      </c>
    </row>
    <row r="7" customFormat="false" ht="15" hidden="false" customHeight="false" outlineLevel="0" collapsed="false">
      <c r="A7" s="4" t="s">
        <v>288</v>
      </c>
      <c r="B7" s="6" t="n">
        <f aca="false">B6*1.15</f>
        <v>62169</v>
      </c>
    </row>
    <row r="10" customFormat="false" ht="15" hidden="false" customHeight="false" outlineLevel="0" collapsed="false">
      <c r="A10" s="20" t="s">
        <v>289</v>
      </c>
    </row>
    <row r="11" customFormat="false" ht="15" hidden="false" customHeight="false" outlineLevel="0" collapsed="false">
      <c r="A11" s="18" t="s">
        <v>290</v>
      </c>
      <c r="B11" s="18" t="s">
        <v>291</v>
      </c>
      <c r="C11" s="18" t="s">
        <v>292</v>
      </c>
    </row>
    <row r="12" customFormat="false" ht="15" hidden="false" customHeight="false" outlineLevel="0" collapsed="false">
      <c r="A12" s="4" t="s">
        <v>33</v>
      </c>
      <c r="B12" s="4" t="n">
        <v>65</v>
      </c>
      <c r="C12" s="4" t="s">
        <v>278</v>
      </c>
    </row>
    <row r="13" customFormat="false" ht="15" hidden="false" customHeight="false" outlineLevel="0" collapsed="false">
      <c r="A13" s="4" t="s">
        <v>30</v>
      </c>
      <c r="B13" s="4" t="n">
        <v>11</v>
      </c>
      <c r="C13" s="4" t="s">
        <v>278</v>
      </c>
    </row>
    <row r="14" customFormat="false" ht="15" hidden="false" customHeight="false" outlineLevel="0" collapsed="false">
      <c r="A14" s="4" t="s">
        <v>22</v>
      </c>
      <c r="B14" s="4" t="n">
        <v>19</v>
      </c>
      <c r="C14" s="4" t="s">
        <v>278</v>
      </c>
    </row>
    <row r="15" customFormat="false" ht="15" hidden="false" customHeight="false" outlineLevel="0" collapsed="false">
      <c r="A15" s="14" t="s">
        <v>203</v>
      </c>
      <c r="B15" s="14" t="n">
        <v>38</v>
      </c>
      <c r="C15" s="14" t="s">
        <v>280</v>
      </c>
    </row>
    <row r="16" customFormat="false" ht="15" hidden="false" customHeight="false" outlineLevel="0" collapsed="false">
      <c r="A16" s="14" t="s">
        <v>266</v>
      </c>
      <c r="B16" s="14" t="n">
        <v>1</v>
      </c>
      <c r="C16" s="14" t="s">
        <v>280</v>
      </c>
    </row>
    <row r="17" customFormat="false" ht="15" hidden="false" customHeight="false" outlineLevel="0" collapsed="false">
      <c r="A17" s="21" t="s">
        <v>293</v>
      </c>
      <c r="B17" s="21" t="n">
        <v>95</v>
      </c>
      <c r="C17" s="4"/>
    </row>
    <row r="18" customFormat="false" ht="15" hidden="false" customHeight="false" outlineLevel="0" collapsed="false">
      <c r="A18" s="22" t="s">
        <v>294</v>
      </c>
      <c r="B18" s="22" t="n">
        <v>39</v>
      </c>
      <c r="C18" s="14"/>
    </row>
    <row r="21" customFormat="false" ht="15" hidden="false" customHeight="false" outlineLevel="0" collapsed="false">
      <c r="A21" s="20" t="s">
        <v>295</v>
      </c>
    </row>
    <row r="22" customFormat="false" ht="15" hidden="false" customHeight="false" outlineLevel="0" collapsed="false">
      <c r="A22" s="18" t="s">
        <v>296</v>
      </c>
      <c r="B22" s="18" t="s">
        <v>291</v>
      </c>
    </row>
    <row r="23" customFormat="false" ht="15" hidden="false" customHeight="false" outlineLevel="0" collapsed="false">
      <c r="A23" s="4" t="s">
        <v>297</v>
      </c>
      <c r="B23" s="4" t="n">
        <v>1</v>
      </c>
    </row>
    <row r="24" customFormat="false" ht="15" hidden="false" customHeight="false" outlineLevel="0" collapsed="false">
      <c r="A24" s="4" t="s">
        <v>298</v>
      </c>
      <c r="B24" s="4" t="n">
        <v>4</v>
      </c>
    </row>
    <row r="25" customFormat="false" ht="15" hidden="false" customHeight="false" outlineLevel="0" collapsed="false">
      <c r="A25" s="4" t="s">
        <v>299</v>
      </c>
      <c r="B25" s="4" t="n">
        <v>1</v>
      </c>
    </row>
    <row r="26" customFormat="false" ht="15" hidden="false" customHeight="false" outlineLevel="0" collapsed="false">
      <c r="A26" s="4" t="s">
        <v>300</v>
      </c>
      <c r="B26" s="4" t="n">
        <v>9</v>
      </c>
    </row>
    <row r="27" customFormat="false" ht="15" hidden="false" customHeight="false" outlineLevel="0" collapsed="false">
      <c r="A27" s="4" t="s">
        <v>301</v>
      </c>
      <c r="B27" s="4" t="n">
        <v>24</v>
      </c>
    </row>
    <row r="30" customFormat="false" ht="15" hidden="false" customHeight="false" outlineLevel="0" collapsed="false">
      <c r="A30" s="20" t="s">
        <v>302</v>
      </c>
    </row>
    <row r="31" customFormat="false" ht="15" hidden="false" customHeight="false" outlineLevel="0" collapsed="false">
      <c r="A31" s="18" t="s">
        <v>303</v>
      </c>
      <c r="B31" s="18" t="s">
        <v>291</v>
      </c>
      <c r="C31" s="18" t="s">
        <v>304</v>
      </c>
      <c r="D31" s="18" t="s">
        <v>305</v>
      </c>
    </row>
    <row r="32" customFormat="false" ht="15" hidden="false" customHeight="false" outlineLevel="0" collapsed="false">
      <c r="A32" s="4" t="s">
        <v>306</v>
      </c>
      <c r="B32" s="4" t="n">
        <f aca="false">COUNTIF('Anytime Expansion'!S5:S99,"Tier 1")</f>
        <v>0</v>
      </c>
      <c r="C32" s="6" t="n">
        <v>4300</v>
      </c>
      <c r="D32" s="6" t="n">
        <f aca="false">B32*C32</f>
        <v>0</v>
      </c>
    </row>
    <row r="33" customFormat="false" ht="15" hidden="false" customHeight="false" outlineLevel="0" collapsed="false">
      <c r="A33" s="4" t="s">
        <v>307</v>
      </c>
      <c r="B33" s="4" t="n">
        <f aca="false">COUNTIF('Anytime Expansion'!S5:S99,"Tier 2")</f>
        <v>0</v>
      </c>
      <c r="C33" s="6" t="n">
        <v>3225</v>
      </c>
      <c r="D33" s="6" t="n">
        <f aca="false">B33*C33</f>
        <v>0</v>
      </c>
    </row>
    <row r="34" customFormat="false" ht="15" hidden="false" customHeight="false" outlineLevel="0" collapsed="false">
      <c r="A34" s="4" t="s">
        <v>308</v>
      </c>
      <c r="B34" s="4" t="n">
        <f aca="false">COUNTIF('Anytime Expansion'!S5:S99,"Tier 3")</f>
        <v>0</v>
      </c>
      <c r="C34" s="6" t="n">
        <v>2150</v>
      </c>
      <c r="D34" s="6" t="n">
        <f aca="false">B34*C34</f>
        <v>0</v>
      </c>
    </row>
    <row r="36" customFormat="false" ht="15" hidden="false" customHeight="false" outlineLevel="0" collapsed="false">
      <c r="A36" s="20" t="s">
        <v>309</v>
      </c>
    </row>
    <row r="37" customFormat="false" ht="15" hidden="false" customHeight="false" outlineLevel="0" collapsed="false">
      <c r="A37" s="18" t="s">
        <v>303</v>
      </c>
      <c r="B37" s="18" t="s">
        <v>291</v>
      </c>
      <c r="C37" s="18" t="s">
        <v>304</v>
      </c>
      <c r="D37" s="18" t="s">
        <v>305</v>
      </c>
    </row>
    <row r="38" customFormat="false" ht="15" hidden="false" customHeight="false" outlineLevel="0" collapsed="false">
      <c r="A38" s="14" t="s">
        <v>306</v>
      </c>
      <c r="B38" s="14" t="n">
        <f aca="false">COUNTIF('Renewal-Only Expansion'!T5:T43,"Tier 1")</f>
        <v>0</v>
      </c>
      <c r="C38" s="16" t="n">
        <v>5000</v>
      </c>
      <c r="D38" s="16" t="n">
        <f aca="false">B38*C38</f>
        <v>0</v>
      </c>
    </row>
    <row r="39" customFormat="false" ht="15" hidden="false" customHeight="false" outlineLevel="0" collapsed="false">
      <c r="A39" s="14" t="s">
        <v>307</v>
      </c>
      <c r="B39" s="14" t="n">
        <f aca="false">COUNTIF('Renewal-Only Expansion'!T5:T43,"Tier 2")</f>
        <v>0</v>
      </c>
      <c r="C39" s="16" t="n">
        <v>3500</v>
      </c>
      <c r="D39" s="16" t="n">
        <f aca="false">B39*C39</f>
        <v>0</v>
      </c>
    </row>
    <row r="40" customFormat="false" ht="15" hidden="false" customHeight="false" outlineLevel="0" collapsed="false">
      <c r="A40" s="14" t="s">
        <v>308</v>
      </c>
      <c r="B40" s="14" t="n">
        <f aca="false">COUNTIF('Renewal-Only Expansion'!T5:T43,"Tier 3")</f>
        <v>0</v>
      </c>
      <c r="C40" s="16" t="n">
        <v>2500</v>
      </c>
      <c r="D40" s="16" t="n">
        <f aca="false">B40*C40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4"/>
  </cols>
  <sheetData>
    <row r="1" customFormat="false" ht="19.7" hidden="false" customHeight="false" outlineLevel="0" collapsed="false">
      <c r="A1" s="19" t="s">
        <v>310</v>
      </c>
      <c r="B1" s="19"/>
      <c r="C1" s="19"/>
      <c r="D1" s="19"/>
      <c r="E1" s="19"/>
      <c r="F1" s="19"/>
      <c r="G1" s="19"/>
      <c r="H1" s="19"/>
    </row>
    <row r="3" customFormat="false" ht="15" hidden="false" customHeight="false" outlineLevel="0" collapsed="false">
      <c r="A3" s="23" t="s">
        <v>311</v>
      </c>
    </row>
    <row r="4" customFormat="false" ht="15" hidden="false" customHeight="false" outlineLevel="0" collapsed="false">
      <c r="A4" s="24" t="s">
        <v>312</v>
      </c>
    </row>
    <row r="6" customFormat="false" ht="15" hidden="false" customHeight="false" outlineLevel="0" collapsed="false">
      <c r="A6" s="25" t="s">
        <v>313</v>
      </c>
    </row>
    <row r="7" customFormat="false" ht="15" hidden="false" customHeight="false" outlineLevel="0" collapsed="false">
      <c r="A7" s="24" t="s">
        <v>314</v>
      </c>
    </row>
    <row r="9" customFormat="false" ht="15" hidden="false" customHeight="false" outlineLevel="0" collapsed="false">
      <c r="A9" s="20" t="s">
        <v>3</v>
      </c>
      <c r="D9" s="20" t="s">
        <v>315</v>
      </c>
      <c r="G9" s="20" t="s">
        <v>316</v>
      </c>
      <c r="J9" s="20" t="s">
        <v>317</v>
      </c>
      <c r="M9" s="20" t="s">
        <v>318</v>
      </c>
      <c r="P9" s="20" t="s">
        <v>319</v>
      </c>
      <c r="S9" s="20" t="s">
        <v>320</v>
      </c>
    </row>
    <row r="10" customFormat="false" ht="15" hidden="false" customHeight="false" outlineLevel="0" collapsed="false">
      <c r="A10" s="18" t="s">
        <v>321</v>
      </c>
      <c r="B10" s="18" t="s">
        <v>322</v>
      </c>
      <c r="D10" s="18" t="s">
        <v>323</v>
      </c>
      <c r="E10" s="18" t="s">
        <v>322</v>
      </c>
      <c r="G10" s="18" t="s">
        <v>324</v>
      </c>
      <c r="H10" s="18" t="s">
        <v>322</v>
      </c>
      <c r="J10" s="18" t="s">
        <v>325</v>
      </c>
      <c r="K10" s="18" t="s">
        <v>322</v>
      </c>
      <c r="M10" s="18" t="s">
        <v>9</v>
      </c>
      <c r="N10" s="18" t="s">
        <v>322</v>
      </c>
      <c r="P10" s="18" t="s">
        <v>326</v>
      </c>
      <c r="Q10" s="18" t="s">
        <v>322</v>
      </c>
      <c r="S10" s="18" t="s">
        <v>326</v>
      </c>
      <c r="T10" s="18" t="s">
        <v>322</v>
      </c>
    </row>
    <row r="11" customFormat="false" ht="15" hidden="false" customHeight="false" outlineLevel="0" collapsed="false">
      <c r="A11" s="4" t="s">
        <v>33</v>
      </c>
      <c r="B11" s="4" t="s">
        <v>327</v>
      </c>
      <c r="D11" s="4" t="s">
        <v>328</v>
      </c>
      <c r="E11" s="4" t="s">
        <v>329</v>
      </c>
      <c r="G11" s="4" t="s">
        <v>222</v>
      </c>
      <c r="H11" s="4" t="s">
        <v>329</v>
      </c>
      <c r="J11" s="4" t="s">
        <v>330</v>
      </c>
      <c r="K11" s="4" t="s">
        <v>331</v>
      </c>
      <c r="M11" s="4" t="s">
        <v>332</v>
      </c>
      <c r="N11" s="4" t="s">
        <v>333</v>
      </c>
      <c r="P11" s="4" t="s">
        <v>334</v>
      </c>
      <c r="Q11" s="4" t="s">
        <v>335</v>
      </c>
      <c r="S11" s="4" t="s">
        <v>334</v>
      </c>
      <c r="T11" s="4" t="s">
        <v>336</v>
      </c>
    </row>
    <row r="12" customFormat="false" ht="15" hidden="false" customHeight="false" outlineLevel="0" collapsed="false">
      <c r="A12" s="4" t="s">
        <v>203</v>
      </c>
      <c r="B12" s="4" t="s">
        <v>337</v>
      </c>
      <c r="D12" s="4" t="s">
        <v>338</v>
      </c>
      <c r="E12" s="4" t="s">
        <v>339</v>
      </c>
      <c r="G12" s="4" t="s">
        <v>36</v>
      </c>
      <c r="H12" s="4" t="s">
        <v>336</v>
      </c>
      <c r="J12" s="4" t="s">
        <v>340</v>
      </c>
      <c r="K12" s="4" t="s">
        <v>341</v>
      </c>
      <c r="M12" s="4" t="s">
        <v>342</v>
      </c>
      <c r="N12" s="4" t="s">
        <v>343</v>
      </c>
      <c r="P12" s="4" t="s">
        <v>344</v>
      </c>
      <c r="Q12" s="4" t="s">
        <v>345</v>
      </c>
      <c r="S12" s="4" t="s">
        <v>344</v>
      </c>
      <c r="T12" s="4" t="s">
        <v>346</v>
      </c>
    </row>
    <row r="13" customFormat="false" ht="15" hidden="false" customHeight="false" outlineLevel="0" collapsed="false">
      <c r="A13" s="4" t="s">
        <v>347</v>
      </c>
      <c r="B13" s="4" t="s">
        <v>348</v>
      </c>
      <c r="D13" s="4" t="s">
        <v>349</v>
      </c>
      <c r="E13" s="4" t="s">
        <v>331</v>
      </c>
      <c r="G13" s="4" t="s">
        <v>43</v>
      </c>
      <c r="H13" s="4" t="s">
        <v>343</v>
      </c>
      <c r="J13" s="4" t="s">
        <v>350</v>
      </c>
      <c r="K13" s="4" t="s">
        <v>351</v>
      </c>
      <c r="M13" s="4" t="s">
        <v>352</v>
      </c>
      <c r="N13" s="4" t="s">
        <v>353</v>
      </c>
      <c r="P13" s="4" t="s">
        <v>354</v>
      </c>
      <c r="Q13" s="4" t="s">
        <v>355</v>
      </c>
      <c r="S13" s="4" t="s">
        <v>354</v>
      </c>
      <c r="T13" s="4" t="s">
        <v>351</v>
      </c>
    </row>
    <row r="14" customFormat="false" ht="15" hidden="false" customHeight="false" outlineLevel="0" collapsed="false">
      <c r="A14" s="4" t="s">
        <v>266</v>
      </c>
      <c r="B14" s="4" t="s">
        <v>348</v>
      </c>
      <c r="D14" s="4" t="s">
        <v>356</v>
      </c>
      <c r="E14" s="4" t="s">
        <v>351</v>
      </c>
      <c r="G14" s="4" t="s">
        <v>357</v>
      </c>
      <c r="H14" s="4" t="s">
        <v>358</v>
      </c>
      <c r="J14" s="4" t="s">
        <v>359</v>
      </c>
      <c r="K14" s="4" t="s">
        <v>333</v>
      </c>
      <c r="M14" s="4" t="s">
        <v>360</v>
      </c>
      <c r="N14" s="4" t="s">
        <v>348</v>
      </c>
      <c r="P14" s="4" t="s">
        <v>361</v>
      </c>
      <c r="Q14" s="4" t="s">
        <v>362</v>
      </c>
      <c r="S14" s="4" t="s">
        <v>361</v>
      </c>
      <c r="T14" s="4" t="s">
        <v>333</v>
      </c>
    </row>
    <row r="15" customFormat="false" ht="15" hidden="false" customHeight="false" outlineLevel="0" collapsed="false">
      <c r="A15" s="4" t="s">
        <v>22</v>
      </c>
      <c r="B15" s="4" t="s">
        <v>358</v>
      </c>
      <c r="D15" s="4" t="s">
        <v>363</v>
      </c>
      <c r="E15" s="4" t="s">
        <v>333</v>
      </c>
      <c r="J15" s="4" t="s">
        <v>364</v>
      </c>
      <c r="K15" s="4" t="s">
        <v>353</v>
      </c>
      <c r="M15" s="4" t="s">
        <v>365</v>
      </c>
      <c r="N15" s="4" t="s">
        <v>366</v>
      </c>
      <c r="P15" s="4" t="s">
        <v>367</v>
      </c>
      <c r="Q15" s="4" t="s">
        <v>353</v>
      </c>
      <c r="S15" s="4" t="s">
        <v>367</v>
      </c>
      <c r="T15" s="4" t="s">
        <v>337</v>
      </c>
    </row>
    <row r="16" customFormat="false" ht="15" hidden="false" customHeight="false" outlineLevel="0" collapsed="false">
      <c r="D16" s="4" t="s">
        <v>368</v>
      </c>
      <c r="E16" s="4" t="s">
        <v>337</v>
      </c>
      <c r="J16" s="4" t="s">
        <v>369</v>
      </c>
      <c r="K16" s="4" t="s">
        <v>366</v>
      </c>
      <c r="P16" s="4" t="s">
        <v>370</v>
      </c>
      <c r="Q16" s="4" t="s">
        <v>358</v>
      </c>
      <c r="S16" s="4" t="s">
        <v>370</v>
      </c>
      <c r="T16" s="4" t="s">
        <v>366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2026-01-27T22:32:35Z</dcterms:created>
  <dc:creator>openpyxl</dc:creator>
  <dc:description/>
  <dc:language>en-US</dc:language>
  <cp:lastModifiedBy/>
  <dcterms:modified xsi:type="dcterms:W3CDTF">2026-01-27T22:32:35Z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